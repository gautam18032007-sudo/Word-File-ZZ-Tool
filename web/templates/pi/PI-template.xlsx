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9200" windowHeight="6195" firstSheet="0" activeTab="0"/>
  </bookViews>
  <sheets>
    <sheet sheetId="1" name="Sheet1" state="visible" r:id="rId4"/>
    <sheet sheetId="2" name="Sheet2" state="hidden" r:id="rId5"/>
  </sheets>
  <calcPr calcId="171027"/>
</workbook>
</file>

<file path=xl/sharedStrings.xml><?xml version="1.0" encoding="utf-8"?>
<sst xmlns="http://schemas.openxmlformats.org/spreadsheetml/2006/main" count="95" uniqueCount="74">
  <si>
    <t>Proforma Invoice</t>
  </si>
  <si>
    <t>BOHEMIAN CURATIONS PVT LTD</t>
  </si>
  <si>
    <t>GST NO. 07AAMCB2083P1Z5</t>
  </si>
  <si>
    <t>Zenzebra, 2nd Floor, A-11, A Block Rd, DDA Sheds, Pocket A,</t>
  </si>
  <si>
    <t>Okhla Phase I, Okhla Industrial Estate, New Delhi, Delhi 110020</t>
  </si>
  <si>
    <t>Mobile No. 9910605187, 9958680856</t>
  </si>
  <si>
    <t>admin@zenzebra.in</t>
  </si>
  <si>
    <t>www.zenzebra.in</t>
  </si>
  <si>
    <t xml:space="preserve">Buyer </t>
  </si>
  <si>
    <t xml:space="preserve">Proforma Invoice No. </t>
  </si>
  <si>
    <t>:</t>
  </si>
  <si>
    <t>BCPL/NO/</t>
  </si>
  <si>
    <t>Buyer Name</t>
  </si>
  <si>
    <t xml:space="preserve">Proforma Date </t>
  </si>
  <si>
    <t>Today Date</t>
  </si>
  <si>
    <t>Place Of Supply.</t>
  </si>
  <si>
    <t>Delhi</t>
  </si>
  <si>
    <t>Transporter</t>
  </si>
  <si>
    <t>Destination</t>
  </si>
  <si>
    <t>Contact Person</t>
  </si>
  <si>
    <t>Contact Number</t>
  </si>
  <si>
    <t xml:space="preserve">Delivery Address </t>
  </si>
  <si>
    <t>S. No.</t>
  </si>
  <si>
    <t>Decription</t>
  </si>
  <si>
    <t>Notes / Remarks</t>
  </si>
  <si>
    <t>UOM</t>
  </si>
  <si>
    <t>Quantity</t>
  </si>
  <si>
    <t>Rate (Rs.)</t>
  </si>
  <si>
    <t>GST (Rate)</t>
  </si>
  <si>
    <t>GST Amount (Rs.)</t>
  </si>
  <si>
    <t xml:space="preserve">Total Amount (Rs.) </t>
  </si>
  <si>
    <t>Service Charge for advertisement of Products - KLJ Noida One</t>
  </si>
  <si>
    <t xml:space="preserve">INR 6000 +
15% commission</t>
  </si>
  <si>
    <t>NOS</t>
  </si>
  <si>
    <t>Service Charge for advertisement of Products - Smartworks Noida</t>
  </si>
  <si>
    <t xml:space="preserve">INR 5000 +
15% commission</t>
  </si>
  <si>
    <t>Total Qty.</t>
  </si>
  <si>
    <t>TAX RATE</t>
  </si>
  <si>
    <t>Taxable Amount</t>
  </si>
  <si>
    <t>CGST Amt.</t>
  </si>
  <si>
    <t>SGST Amt.</t>
  </si>
  <si>
    <t>IGST Amt.</t>
  </si>
  <si>
    <t>Total Tax</t>
  </si>
  <si>
    <t>Grand Total (Rs.)</t>
  </si>
  <si>
    <t>For BOHEMIAN CURATIONS PVT. LTD.</t>
  </si>
  <si>
    <t>Total (Rs.)</t>
  </si>
  <si>
    <t>-</t>
  </si>
  <si>
    <t>TERMS &amp; CONDITIONS</t>
  </si>
  <si>
    <t xml:space="preserve">OUR BANK DETAILS </t>
  </si>
  <si>
    <t>The Rates are for Display.</t>
  </si>
  <si>
    <t>ACCOUNT NAME : BOHEMIAN CURATIONS PRIVATE LIMITED</t>
  </si>
  <si>
    <t>Freight : Your scope</t>
  </si>
  <si>
    <t>Bank Name - ICICI Bank</t>
  </si>
  <si>
    <t xml:space="preserve">Payment terms : Against this PI, 100% Advance </t>
  </si>
  <si>
    <t>Account No. - 113405500373</t>
  </si>
  <si>
    <t>(Authorised Signatory)</t>
  </si>
  <si>
    <t>GST : Extra applicable as shown above</t>
  </si>
  <si>
    <t>IFSC CODE : ICIC0001134</t>
  </si>
  <si>
    <t>Hope, our above offer will be best for your requirement.</t>
  </si>
  <si>
    <t>In case of any query /clarification is required please let us know.</t>
  </si>
  <si>
    <t>Thanking you for your collaboration with us.</t>
  </si>
  <si>
    <t>Contact Person &amp; Contact Mobile No. (For Inventory Inquiry )</t>
  </si>
  <si>
    <t>Mr. Surjeet: 9911624001</t>
  </si>
  <si>
    <t>Contact Person &amp; Contact Mobile No. (For Proforma Inquiry )</t>
  </si>
  <si>
    <t>Mr. Deepanshu: 8448402489</t>
  </si>
  <si>
    <t>MS SOCKET R 25X20MM THREADED</t>
  </si>
  <si>
    <t>NOS.</t>
  </si>
  <si>
    <t>MS SOCKET R 25X15MM THREADED</t>
  </si>
  <si>
    <t>MS TEE 25X25MM</t>
  </si>
  <si>
    <t>MS ELBOW 1 INCH</t>
  </si>
  <si>
    <t>MS NIPPLE 1 INCH X 6 INCH</t>
  </si>
  <si>
    <t>MS HIGH PRESSURE UNION 1 INCH</t>
  </si>
  <si>
    <t>MS FLANGE T/D 1 INCH</t>
  </si>
  <si>
    <t>MS FLANGE T/H 2.5INCH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</si>
</sst>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(* #,##0_);_(* (#,##0);_(* &quot;-&quot;??_);_(@_)"/>
    <numFmt numFmtId="165" formatCode="_ * #,##0.00_ ;_ * -#,##0.00_ ;_ * &quot;-&quot;??_ ;_ @_ "/>
  </numFmts>
  <fonts count="38" x14ac:knownFonts="1">
    <font>
      <color theme="1"/>
      <family val="2"/>
      <scheme val="minor"/>
      <sz val="11"/>
      <name val="Calibri"/>
    </font>
    <font>
      <b/>
      <charset val="134"/>
      <color theme="1"/>
      <sz val="16"/>
      <name val="Calibri"/>
    </font>
    <font>
      <charset val="134"/>
      <color theme="1"/>
      <scheme val="minor"/>
      <sz val="12"/>
      <name val="Calibri"/>
    </font>
    <font>
      <b/>
      <charset val="134"/>
      <color theme="0"/>
      <sz val="22"/>
      <name val="Calibri"/>
    </font>
    <font>
      <charset val="134"/>
      <color theme="1"/>
      <sz val="12"/>
      <name val="Times New Roman"/>
    </font>
    <font>
      <charset val="134"/>
      <color theme="1"/>
      <sz val="11"/>
      <name val="Times New Roman"/>
    </font>
    <font>
      <charset val="134"/>
      <color theme="1"/>
      <scheme val="minor"/>
      <sz val="11"/>
      <name val="Calibri"/>
    </font>
    <font>
      <u/>
      <charset val="134"/>
      <color theme="10"/>
      <sz val="12"/>
      <name val="Calibri"/>
    </font>
    <font>
      <b/>
      <charset val="134"/>
      <color theme="1"/>
      <sz val="10"/>
      <name val="Times New Roman"/>
    </font>
    <font>
      <charset val="134"/>
      <color rgb="FF000000"/>
      <sz val="12"/>
      <name val="Calibri"/>
    </font>
    <font>
      <charset val="134"/>
      <color theme="1"/>
      <sz val="12"/>
      <name val="Calibri"/>
    </font>
    <font>
      <charset val="134"/>
      <color rgb="FF202124"/>
      <sz val="10"/>
      <name val="Times New Roman"/>
    </font>
    <font>
      <charset val="134"/>
      <color rgb="FF000000"/>
      <sz val="11"/>
      <name val="Arial"/>
    </font>
    <font>
      <charset val="134"/>
      <color theme="1"/>
      <sz val="10"/>
      <name val="Calibri"/>
    </font>
    <font>
      <charset val="134"/>
      <color theme="1"/>
      <sz val="10"/>
      <name val="Times New Roman"/>
    </font>
    <font>
      <charset val="134"/>
      <color theme="1"/>
      <sz val="10"/>
      <name val="Lato"/>
    </font>
    <font>
      <b/>
      <charset val="134"/>
      <color theme="1"/>
      <sz val="10"/>
      <name val="Lato"/>
    </font>
    <font>
      <b/>
      <u/>
      <charset val="134"/>
      <color theme="1"/>
      <sz val="10"/>
      <name val="Calibri"/>
    </font>
    <font>
      <charset val="134"/>
      <color theme="1"/>
      <sz val="10"/>
      <name val="Roboto Slab"/>
    </font>
    <font>
      <charset val="134"/>
      <color theme="1"/>
      <sz val="9"/>
      <name val="Calibri"/>
    </font>
    <font>
      <charset val="134"/>
      <color theme="1"/>
      <sz val="10"/>
      <name val="Tahoma"/>
    </font>
    <font>
      <charset val="134"/>
      <color rgb="FF000000"/>
      <sz val="10"/>
      <name val="Calibri"/>
    </font>
    <font>
      <charset val="134"/>
      <color rgb="FF000000"/>
      <sz val="10"/>
      <name val="Times New Roman"/>
    </font>
    <font>
      <charset val="134"/>
      <color rgb="FF000000"/>
      <sz val="10"/>
      <name val="Tahoma"/>
    </font>
    <font>
      <charset val="134"/>
      <color theme="1"/>
      <sz val="9"/>
      <name val="Roboto Slab"/>
    </font>
    <font>
      <charset val="134"/>
      <color theme="1"/>
      <sz val="16"/>
      <name val="Times New Roman"/>
    </font>
    <font>
      <charset val="134"/>
      <color theme="1"/>
      <sz val="8"/>
      <name val="Times New Roman"/>
    </font>
    <font>
      <charset val="134"/>
      <color rgb="FF000000"/>
      <sz val="9"/>
      <name val="Calibri"/>
    </font>
    <font>
      <charset val="134"/>
      <color rgb="FF000000"/>
      <sz val="9"/>
      <name val="Cambria"/>
    </font>
    <font>
      <charset val="134"/>
      <color theme="1"/>
      <sz val="9"/>
      <name val="Times New Roman"/>
    </font>
    <font>
      <b/>
      <charset val="134"/>
      <color theme="1"/>
      <sz val="9"/>
      <name val="Arial"/>
    </font>
    <font>
      <b/>
      <charset val="134"/>
      <color theme="1"/>
      <sz val="9"/>
      <name val="Roboto Slab"/>
    </font>
    <font>
      <charset val="134"/>
      <color theme="1"/>
      <sz val="9"/>
      <name val="Arial"/>
    </font>
    <font>
      <charset val="134"/>
      <color theme="1"/>
      <sz val="12"/>
      <name val="Roboto Slab"/>
    </font>
    <font>
      <b/>
      <u/>
      <charset val="134"/>
      <color theme="1"/>
      <sz val="12"/>
      <name val="Calibri"/>
    </font>
    <font>
      <u/>
      <charset val="134"/>
      <color theme="1"/>
      <sz val="12"/>
      <name val="Calibri"/>
    </font>
    <font>
      <charset val="134"/>
      <color theme="1"/>
      <sz val="11"/>
      <name val="Arial"/>
    </font>
    <font>
      <charset val="134"/>
      <color rgb="FF414141"/>
      <sz val="10"/>
      <name val="Roboto Slab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/>
    </fill>
    <fill>
      <patternFill patternType="solid">
        <fgColor theme="1"/>
        <bgColor theme="1"/>
      </patternFill>
    </fill>
    <fill>
      <patternFill patternType="solid">
        <fgColor rgb="FF8EAADB"/>
        <bgColor rgb="FF8EAADB"/>
      </patternFill>
    </fill>
    <fill>
      <patternFill patternType="solid">
        <fgColor rgb="FFE7E6E6"/>
        <bgColor rgb="FFE7E6E6"/>
      </patternFill>
    </fill>
    <fill>
      <patternFill patternType="solid">
        <fgColor rgb="FFD9E2F3"/>
        <bgColor rgb="FFD9E2F3"/>
      </patternFill>
    </fill>
    <fill>
      <patternFill patternType="solid">
        <fgColor rgb="FFD0CECE"/>
        <bgColor rgb="FFD0CECE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  <diagonal/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0" fontId="3" fillId="4" borderId="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5" fillId="2" borderId="7" xfId="0" applyFont="1" applyFill="1" applyBorder="1" applyAlignment="1">
      <alignment horizontal="center"/>
    </xf>
    <xf numFmtId="0" fontId="6" fillId="3" borderId="8" xfId="0" applyFont="1" applyFill="1" applyBorder="1"/>
    <xf numFmtId="1" fontId="4" fillId="2" borderId="7" xfId="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8" fillId="2" borderId="9" xfId="0" applyFont="1" applyFill="1" applyBorder="1"/>
    <xf numFmtId="0" fontId="9" fillId="2" borderId="5" xfId="0" applyFont="1" applyFill="1" applyBorder="1" applyAlignment="1">
      <alignment horizontal="left" vertical="top"/>
    </xf>
    <xf numFmtId="0" fontId="10" fillId="2" borderId="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left"/>
    </xf>
    <xf numFmtId="0" fontId="10" fillId="2" borderId="5" xfId="0" applyFont="1" applyFill="1" applyBorder="1"/>
    <xf numFmtId="0" fontId="11" fillId="2" borderId="10" xfId="0" applyFont="1" applyFill="1" applyBorder="1"/>
    <xf numFmtId="0" fontId="12" fillId="2" borderId="0" xfId="0" applyFont="1" applyFill="1" applyAlignment="1">
      <alignment horizontal="left" vertical="top"/>
    </xf>
    <xf numFmtId="0" fontId="13" fillId="2" borderId="8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0" fillId="2" borderId="0" xfId="0" applyFont="1" applyFill="1"/>
    <xf numFmtId="0" fontId="10" fillId="2" borderId="8" xfId="0" applyFont="1" applyFill="1" applyBorder="1"/>
    <xf numFmtId="0" fontId="14" fillId="2" borderId="10" xfId="0" applyFont="1" applyFill="1" applyBorder="1"/>
    <xf numFmtId="0" fontId="14" fillId="2" borderId="10" xfId="0" applyFont="1" applyFill="1" applyBorder="1" applyAlignment="1">
      <alignment horizontal="left"/>
    </xf>
    <xf numFmtId="0" fontId="5" fillId="2" borderId="0" xfId="0" applyFont="1" applyFill="1" applyAlignment="1">
      <alignment horizontal="center"/>
    </xf>
    <xf numFmtId="0" fontId="4" fillId="2" borderId="0" xfId="0" applyFont="1" applyFill="1"/>
    <xf numFmtId="0" fontId="15" fillId="2" borderId="11" xfId="0" applyFont="1" applyFill="1" applyBorder="1" applyAlignment="1">
      <alignment horizontal="left"/>
    </xf>
    <xf numFmtId="0" fontId="13" fillId="2" borderId="12" xfId="0" applyFont="1" applyFill="1" applyBorder="1"/>
    <xf numFmtId="0" fontId="13" fillId="2" borderId="13" xfId="0" applyFont="1" applyFill="1" applyBorder="1" applyAlignment="1">
      <alignment horizontal="center"/>
    </xf>
    <xf numFmtId="0" fontId="16" fillId="2" borderId="9" xfId="0" applyFont="1" applyFill="1" applyBorder="1"/>
    <xf numFmtId="0" fontId="17" fillId="2" borderId="5" xfId="0" applyFont="1" applyFill="1" applyBorder="1" applyAlignment="1">
      <alignment horizontal="left"/>
    </xf>
    <xf numFmtId="0" fontId="13" fillId="2" borderId="6" xfId="0" applyFont="1" applyFill="1" applyBorder="1" applyAlignment="1">
      <alignment horizontal="center"/>
    </xf>
    <xf numFmtId="0" fontId="10" fillId="3" borderId="0" xfId="0" applyFont="1" applyFill="1"/>
    <xf numFmtId="0" fontId="10" fillId="2" borderId="8" xfId="0" applyFont="1" applyFill="1" applyBorder="1" applyAlignment="1">
      <alignment horizontal="center"/>
    </xf>
    <xf numFmtId="0" fontId="9" fillId="2" borderId="0" xfId="0" applyFont="1" applyFill="1" applyAlignment="1">
      <alignment horizontal="left" vertical="top"/>
    </xf>
    <xf numFmtId="0" fontId="8" fillId="2" borderId="10" xfId="0" applyFont="1" applyFill="1" applyBorder="1"/>
    <xf numFmtId="0" fontId="13" fillId="2" borderId="12" xfId="0" applyFont="1" applyFill="1" applyBorder="1" applyAlignment="1">
      <alignment horizontal="left"/>
    </xf>
    <xf numFmtId="0" fontId="13" fillId="5" borderId="9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vertical="center" wrapText="1"/>
    </xf>
    <xf numFmtId="0" fontId="18" fillId="5" borderId="4" xfId="0" applyFont="1" applyFill="1" applyBorder="1" applyAlignment="1">
      <alignment horizontal="center" vertical="center" wrapText="1"/>
    </xf>
    <xf numFmtId="164" fontId="18" fillId="5" borderId="4" xfId="0" applyNumberFormat="1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left" vertical="top" wrapText="1"/>
    </xf>
    <xf numFmtId="0" fontId="13" fillId="3" borderId="15" xfId="0" applyFont="1" applyFill="1" applyBorder="1" applyAlignment="1">
      <alignment horizontal="center" vertical="center" wrapText="1"/>
    </xf>
    <xf numFmtId="0" fontId="21" fillId="3" borderId="15" xfId="0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 wrapText="1"/>
    </xf>
    <xf numFmtId="4" fontId="23" fillId="3" borderId="15" xfId="0" applyNumberFormat="1" applyFont="1" applyFill="1" applyBorder="1" applyAlignment="1">
      <alignment horizontal="right" vertical="center" shrinkToFit="1"/>
    </xf>
    <xf numFmtId="9" fontId="14" fillId="3" borderId="15" xfId="0" applyNumberFormat="1" applyFont="1" applyFill="1" applyBorder="1" applyAlignment="1">
      <alignment horizontal="center" vertical="center" wrapText="1"/>
    </xf>
    <xf numFmtId="0" fontId="24" fillId="3" borderId="15" xfId="0" applyFont="1" applyFill="1" applyBorder="1" applyAlignment="1">
      <alignment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25" fillId="3" borderId="0" xfId="0" applyFont="1" applyFill="1"/>
    <xf numFmtId="0" fontId="26" fillId="3" borderId="0" xfId="0" applyFont="1" applyFill="1"/>
    <xf numFmtId="4" fontId="26" fillId="3" borderId="0" xfId="0" applyNumberFormat="1" applyFont="1" applyFill="1"/>
    <xf numFmtId="0" fontId="14" fillId="3" borderId="15" xfId="0" applyFont="1" applyFill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left" vertical="center" wrapText="1"/>
    </xf>
    <xf numFmtId="0" fontId="19" fillId="3" borderId="15" xfId="0" applyFont="1" applyFill="1" applyBorder="1" applyAlignment="1">
      <alignment horizontal="center" vertical="center" wrapText="1"/>
    </xf>
    <xf numFmtId="0" fontId="27" fillId="3" borderId="15" xfId="0" applyFont="1" applyFill="1" applyBorder="1" applyAlignment="1">
      <alignment horizontal="center" vertical="center"/>
    </xf>
    <xf numFmtId="1" fontId="27" fillId="3" borderId="15" xfId="0" applyNumberFormat="1" applyFont="1" applyFill="1" applyBorder="1" applyAlignment="1">
      <alignment horizontal="center" vertical="center" shrinkToFit="1"/>
    </xf>
    <xf numFmtId="2" fontId="28" fillId="3" borderId="15" xfId="0" applyNumberFormat="1" applyFont="1" applyFill="1" applyBorder="1" applyAlignment="1">
      <alignment horizontal="right" vertical="center" shrinkToFit="1"/>
    </xf>
    <xf numFmtId="9" fontId="29" fillId="3" borderId="15" xfId="0" applyNumberFormat="1" applyFont="1" applyFill="1" applyBorder="1" applyAlignment="1">
      <alignment horizontal="center" vertical="center" wrapText="1"/>
    </xf>
    <xf numFmtId="0" fontId="29" fillId="3" borderId="15" xfId="0" applyFont="1" applyFill="1" applyBorder="1" applyAlignment="1">
      <alignment horizontal="center" vertical="center" wrapText="1"/>
    </xf>
    <xf numFmtId="0" fontId="29" fillId="3" borderId="16" xfId="0" applyFont="1" applyFill="1" applyBorder="1" applyAlignment="1">
      <alignment horizontal="center" vertical="center" wrapText="1"/>
    </xf>
    <xf numFmtId="0" fontId="29" fillId="6" borderId="17" xfId="0" applyFont="1" applyFill="1" applyBorder="1"/>
    <xf numFmtId="0" fontId="29" fillId="6" borderId="17" xfId="0" applyFont="1" applyFill="1" applyBorder="1" applyAlignment="1">
      <alignment vertical="center" wrapText="1"/>
    </xf>
    <xf numFmtId="0" fontId="14" fillId="6" borderId="18" xfId="0" applyFont="1" applyFill="1" applyBorder="1" applyAlignment="1">
      <alignment horizontal="center"/>
    </xf>
    <xf numFmtId="0" fontId="29" fillId="6" borderId="18" xfId="0" applyFont="1" applyFill="1" applyBorder="1"/>
    <xf numFmtId="0" fontId="14" fillId="6" borderId="18" xfId="0" applyFont="1" applyFill="1" applyBorder="1"/>
    <xf numFmtId="9" fontId="14" fillId="6" borderId="18" xfId="0" applyNumberFormat="1" applyFont="1" applyFill="1" applyBorder="1" applyAlignment="1">
      <alignment horizontal="center" vertical="center" wrapText="1"/>
    </xf>
    <xf numFmtId="0" fontId="29" fillId="6" borderId="19" xfId="0" applyFont="1" applyFill="1" applyBorder="1"/>
    <xf numFmtId="0" fontId="29" fillId="3" borderId="0" xfId="0" applyFont="1" applyFill="1"/>
    <xf numFmtId="165" fontId="29" fillId="3" borderId="0" xfId="0" applyNumberFormat="1" applyFont="1" applyFill="1"/>
    <xf numFmtId="0" fontId="10" fillId="3" borderId="14" xfId="0" applyFont="1" applyFill="1" applyBorder="1"/>
    <xf numFmtId="0" fontId="30" fillId="3" borderId="14" xfId="0" applyFont="1" applyFill="1" applyBorder="1" applyAlignment="1">
      <alignment horizontal="right" vertical="center" wrapText="1"/>
    </xf>
    <xf numFmtId="0" fontId="30" fillId="3" borderId="15" xfId="0" applyFont="1" applyFill="1" applyBorder="1" applyAlignment="1">
      <alignment horizontal="center" vertical="center" wrapText="1"/>
    </xf>
    <xf numFmtId="0" fontId="31" fillId="3" borderId="15" xfId="0" applyFont="1" applyFill="1" applyBorder="1" applyAlignment="1">
      <alignment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vertical="center"/>
    </xf>
    <xf numFmtId="9" fontId="32" fillId="3" borderId="14" xfId="0" applyNumberFormat="1" applyFont="1" applyFill="1" applyBorder="1" applyAlignment="1">
      <alignment horizontal="right" vertical="center" wrapText="1"/>
    </xf>
    <xf numFmtId="0" fontId="32" fillId="3" borderId="15" xfId="0" applyFont="1" applyFill="1" applyBorder="1" applyAlignment="1">
      <alignment horizontal="center" vertical="center" wrapText="1"/>
    </xf>
    <xf numFmtId="0" fontId="32" fillId="3" borderId="15" xfId="0" applyFont="1" applyFill="1" applyBorder="1" applyAlignment="1">
      <alignment vertical="center" wrapText="1"/>
    </xf>
    <xf numFmtId="0" fontId="33" fillId="2" borderId="15" xfId="0" applyFont="1" applyFill="1" applyBorder="1" applyAlignment="1">
      <alignment vertical="center" wrapText="1"/>
    </xf>
    <xf numFmtId="0" fontId="10" fillId="2" borderId="16" xfId="0" applyFont="1" applyFill="1" applyBorder="1"/>
    <xf numFmtId="0" fontId="33" fillId="2" borderId="15" xfId="0" applyFont="1" applyFill="1" applyBorder="1" applyAlignment="1">
      <alignment horizontal="center" vertical="center" wrapText="1"/>
    </xf>
    <xf numFmtId="0" fontId="2" fillId="3" borderId="16" xfId="0" applyFont="1" applyFill="1" applyBorder="1"/>
    <xf numFmtId="165" fontId="10" fillId="3" borderId="0" xfId="0" applyNumberFormat="1" applyFont="1" applyFill="1"/>
    <xf numFmtId="0" fontId="10" fillId="3" borderId="17" xfId="0" applyFont="1" applyFill="1" applyBorder="1"/>
    <xf numFmtId="9" fontId="32" fillId="3" borderId="17" xfId="0" applyNumberFormat="1" applyFont="1" applyFill="1" applyBorder="1" applyAlignment="1">
      <alignment horizontal="right" vertical="center" wrapText="1"/>
    </xf>
    <xf numFmtId="0" fontId="32" fillId="3" borderId="18" xfId="0" applyFont="1" applyFill="1" applyBorder="1" applyAlignment="1">
      <alignment horizontal="center" vertical="center" wrapText="1"/>
    </xf>
    <xf numFmtId="0" fontId="32" fillId="3" borderId="18" xfId="0" applyFont="1" applyFill="1" applyBorder="1" applyAlignment="1">
      <alignment horizontal="center" vertical="top" wrapText="1"/>
    </xf>
    <xf numFmtId="0" fontId="24" fillId="3" borderId="18" xfId="0" applyFont="1" applyFill="1" applyBorder="1" applyAlignment="1">
      <alignment horizontal="right" vertical="center" wrapText="1"/>
    </xf>
    <xf numFmtId="0" fontId="33" fillId="2" borderId="18" xfId="0" applyFont="1" applyFill="1" applyBorder="1" applyAlignment="1">
      <alignment vertical="center" wrapText="1"/>
    </xf>
    <xf numFmtId="0" fontId="10" fillId="2" borderId="19" xfId="0" applyFont="1" applyFill="1" applyBorder="1"/>
    <xf numFmtId="0" fontId="34" fillId="8" borderId="4" xfId="0" applyFont="1" applyFill="1" applyBorder="1" applyAlignment="1">
      <alignment horizontal="center"/>
    </xf>
    <xf numFmtId="0" fontId="34" fillId="8" borderId="9" xfId="0" applyFont="1" applyFill="1" applyBorder="1"/>
    <xf numFmtId="0" fontId="35" fillId="8" borderId="5" xfId="0" applyFont="1" applyFill="1" applyBorder="1"/>
    <xf numFmtId="0" fontId="35" fillId="8" borderId="6" xfId="0" applyFont="1" applyFill="1" applyBorder="1"/>
    <xf numFmtId="0" fontId="33" fillId="2" borderId="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vertical="center" wrapText="1"/>
    </xf>
    <xf numFmtId="0" fontId="32" fillId="2" borderId="8" xfId="0" applyFont="1" applyFill="1" applyBorder="1" applyAlignment="1">
      <alignment horizontal="left" vertical="center" wrapText="1"/>
    </xf>
    <xf numFmtId="0" fontId="33" fillId="2" borderId="0" xfId="0" applyFont="1" applyFill="1" applyAlignment="1">
      <alignment vertical="center" wrapText="1"/>
    </xf>
    <xf numFmtId="0" fontId="10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8" xfId="0" applyFont="1" applyFill="1" applyBorder="1" applyAlignment="1">
      <alignment vertical="center" wrapText="1"/>
    </xf>
    <xf numFmtId="0" fontId="32" fillId="3" borderId="0" xfId="0" applyFont="1" applyFill="1"/>
    <xf numFmtId="0" fontId="32" fillId="2" borderId="10" xfId="0" applyFont="1" applyFill="1" applyBorder="1" applyAlignment="1">
      <alignment vertical="center"/>
    </xf>
    <xf numFmtId="0" fontId="32" fillId="2" borderId="0" xfId="0" applyFont="1" applyFill="1" applyAlignment="1">
      <alignment vertical="top"/>
    </xf>
    <xf numFmtId="0" fontId="4" fillId="2" borderId="8" xfId="0" applyFont="1" applyFill="1" applyBorder="1" applyAlignment="1">
      <alignment horizontal="left" vertical="center" wrapText="1"/>
    </xf>
    <xf numFmtId="0" fontId="10" fillId="9" borderId="9" xfId="0" applyFont="1" applyFill="1" applyBorder="1"/>
    <xf numFmtId="0" fontId="36" fillId="9" borderId="5" xfId="0" applyFont="1" applyFill="1" applyBorder="1" applyAlignment="1">
      <alignment vertical="center" wrapText="1"/>
    </xf>
    <xf numFmtId="0" fontId="36" fillId="9" borderId="5" xfId="0" applyFont="1" applyFill="1" applyBorder="1" applyAlignment="1">
      <alignment horizontal="center" vertical="center" wrapText="1"/>
    </xf>
    <xf numFmtId="0" fontId="33" fillId="9" borderId="5" xfId="0" applyFont="1" applyFill="1" applyBorder="1" applyAlignment="1">
      <alignment vertical="center" wrapText="1"/>
    </xf>
    <xf numFmtId="0" fontId="10" fillId="9" borderId="6" xfId="0" applyFont="1" applyFill="1" applyBorder="1"/>
    <xf numFmtId="0" fontId="10" fillId="9" borderId="10" xfId="0" applyFont="1" applyFill="1" applyBorder="1"/>
    <xf numFmtId="0" fontId="36" fillId="9" borderId="0" xfId="0" applyFont="1" applyFill="1" applyAlignment="1">
      <alignment vertical="center"/>
    </xf>
    <xf numFmtId="0" fontId="36" fillId="9" borderId="0" xfId="0" applyFont="1" applyFill="1" applyAlignment="1">
      <alignment horizontal="center" vertical="center"/>
    </xf>
    <xf numFmtId="0" fontId="10" fillId="9" borderId="0" xfId="0" applyFont="1" applyFill="1"/>
    <xf numFmtId="0" fontId="10" fillId="9" borderId="8" xfId="0" applyFont="1" applyFill="1" applyBorder="1"/>
    <xf numFmtId="0" fontId="10" fillId="9" borderId="11" xfId="0" applyFont="1" applyFill="1" applyBorder="1"/>
    <xf numFmtId="0" fontId="36" fillId="9" borderId="12" xfId="0" applyFont="1" applyFill="1" applyBorder="1" applyAlignment="1">
      <alignment vertical="center"/>
    </xf>
    <xf numFmtId="0" fontId="36" fillId="9" borderId="12" xfId="0" applyFont="1" applyFill="1" applyBorder="1" applyAlignment="1">
      <alignment horizontal="center" vertical="center"/>
    </xf>
    <xf numFmtId="0" fontId="10" fillId="9" borderId="12" xfId="0" applyFont="1" applyFill="1" applyBorder="1"/>
    <xf numFmtId="0" fontId="10" fillId="9" borderId="13" xfId="0" applyFont="1" applyFill="1" applyBorder="1"/>
    <xf numFmtId="0" fontId="10" fillId="10" borderId="9" xfId="0" applyFont="1" applyFill="1" applyBorder="1"/>
    <xf numFmtId="0" fontId="36" fillId="10" borderId="5" xfId="0" applyFont="1" applyFill="1" applyBorder="1" applyAlignment="1">
      <alignment vertical="center"/>
    </xf>
    <xf numFmtId="0" fontId="10" fillId="10" borderId="5" xfId="0" applyFont="1" applyFill="1" applyBorder="1" applyAlignment="1">
      <alignment horizontal="center"/>
    </xf>
    <xf numFmtId="0" fontId="10" fillId="10" borderId="5" xfId="0" applyFont="1" applyFill="1" applyBorder="1"/>
    <xf numFmtId="0" fontId="10" fillId="10" borderId="6" xfId="0" applyFont="1" applyFill="1" applyBorder="1"/>
    <xf numFmtId="0" fontId="10" fillId="10" borderId="11" xfId="0" applyFont="1" applyFill="1" applyBorder="1"/>
    <xf numFmtId="0" fontId="36" fillId="10" borderId="12" xfId="0" applyFont="1" applyFill="1" applyBorder="1" applyAlignment="1">
      <alignment vertical="center"/>
    </xf>
    <xf numFmtId="0" fontId="36" fillId="10" borderId="12" xfId="0" applyFont="1" applyFill="1" applyBorder="1" applyAlignment="1">
      <alignment horizontal="center" vertical="center"/>
    </xf>
    <xf numFmtId="0" fontId="10" fillId="10" borderId="12" xfId="0" applyFont="1" applyFill="1" applyBorder="1"/>
    <xf numFmtId="0" fontId="10" fillId="10" borderId="13" xfId="0" applyFont="1" applyFill="1" applyBorder="1"/>
    <xf numFmtId="0" fontId="36" fillId="3" borderId="0" xfId="0" applyFont="1" applyFill="1" applyAlignment="1">
      <alignment vertical="center"/>
    </xf>
    <xf numFmtId="0" fontId="36" fillId="3" borderId="0" xfId="0" applyFont="1" applyFill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37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3" fillId="11" borderId="20" xfId="0" applyFont="1" applyFill="1" applyBorder="1" applyAlignment="1">
      <alignment horizontal="center" vertical="center"/>
    </xf>
    <xf numFmtId="0" fontId="18" fillId="11" borderId="20" xfId="0" applyFont="1" applyFill="1" applyBorder="1" applyAlignment="1">
      <alignment vertical="center" wrapText="1"/>
    </xf>
    <xf numFmtId="164" fontId="18" fillId="11" borderId="1" xfId="0" applyNumberFormat="1" applyFont="1" applyFill="1" applyBorder="1" applyAlignment="1">
      <alignment horizontal="center" vertical="center" wrapText="1"/>
    </xf>
    <xf numFmtId="0" fontId="19" fillId="3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left" vertical="center" wrapText="1"/>
    </xf>
    <xf numFmtId="0" fontId="27" fillId="3" borderId="23" xfId="0" applyFont="1" applyFill="1" applyBorder="1" applyAlignment="1">
      <alignment horizontal="center" vertical="center"/>
    </xf>
    <xf numFmtId="1" fontId="27" fillId="3" borderId="22" xfId="0" applyNumberFormat="1" applyFont="1" applyFill="1" applyBorder="1" applyAlignment="1">
      <alignment horizontal="center" vertical="center" shrinkToFit="1"/>
    </xf>
    <xf numFmtId="0" fontId="19" fillId="3" borderId="2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</xdr:row>
      <xdr:rowOff>133350</xdr:rowOff>
    </xdr:from>
    <xdr:ext cx="2943225" cy="847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7</xdr:col>
      <xdr:colOff>161925</xdr:colOff>
      <xdr:row>34</xdr:row>
      <xdr:rowOff>0</xdr:rowOff>
    </xdr:from>
    <xdr:ext cx="1790700" cy="676275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zenzebra.in" TargetMode="External"/><Relationship Id="rId2" Type="http://schemas.openxmlformats.org/officeDocument/2006/relationships/hyperlink" Target="http://www.zenzebra.in/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1:Z999"/>
  <sheetViews>
    <sheetView workbookViewId="0" zoomScale="85" zoomScaleNormal="85">
      <selection activeCell="M16" sqref="M16"/>
    </sheetView>
  </sheetViews>
  <sheetFormatPr defaultRowHeight="15" outlineLevelRow="0" outlineLevelCol="0" x14ac:dyDescent="0" defaultColWidth="11.25"/>
  <cols>
    <col min="1" max="1" width="6.5" customWidth="1"/>
    <col min="2" max="2" width="49.125" customWidth="1"/>
    <col min="3" max="3" width="13.75" customWidth="1"/>
    <col min="4" max="4" width="8.5" customWidth="1"/>
    <col min="6" max="7" width="10.625" customWidth="1"/>
    <col min="8" max="8" width="11.875" customWidth="1"/>
    <col min="9" max="9" width="14.25" customWidth="1"/>
    <col min="10" max="26" width="8.875" customWidth="1"/>
  </cols>
  <sheetData>
    <row r="1" ht="21" customHeight="1" spans="1:9" x14ac:dyDescent="0.25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2.5" customHeight="1" spans="1:9" x14ac:dyDescent="0.25">
      <c r="A2" s="4" t="s">
        <v>1</v>
      </c>
      <c r="B2" s="2"/>
      <c r="C2" s="2"/>
      <c r="D2" s="2"/>
      <c r="E2" s="2"/>
      <c r="F2" s="2"/>
      <c r="G2" s="2"/>
      <c r="H2" s="2"/>
      <c r="I2" s="3"/>
    </row>
    <row r="3" ht="15.75" customHeight="1" spans="1:9" x14ac:dyDescent="0.25">
      <c r="A3" s="5" t="s">
        <v>2</v>
      </c>
      <c r="B3" s="6"/>
      <c r="C3" s="6"/>
      <c r="D3" s="6"/>
      <c r="E3" s="6"/>
      <c r="F3" s="6"/>
      <c r="G3" s="6"/>
      <c r="H3" s="6"/>
      <c r="I3" s="7"/>
    </row>
    <row r="4" ht="15.75" customHeight="1" spans="1:9" x14ac:dyDescent="0.25">
      <c r="A4" s="8" t="s">
        <v>3</v>
      </c>
      <c r="B4"/>
      <c r="C4"/>
      <c r="D4"/>
      <c r="E4"/>
      <c r="F4"/>
      <c r="G4"/>
      <c r="H4"/>
      <c r="I4" s="9"/>
    </row>
    <row r="5" ht="15.75" customHeight="1" spans="1:9" x14ac:dyDescent="0.25">
      <c r="A5" s="8" t="s">
        <v>4</v>
      </c>
      <c r="B5"/>
      <c r="C5"/>
      <c r="D5"/>
      <c r="E5"/>
      <c r="F5"/>
      <c r="G5"/>
      <c r="H5"/>
      <c r="I5" s="9"/>
    </row>
    <row r="6" ht="15.75" customHeight="1" spans="1:9" x14ac:dyDescent="0.25">
      <c r="A6" s="10" t="s">
        <v>5</v>
      </c>
      <c r="B6"/>
      <c r="C6"/>
      <c r="D6"/>
      <c r="E6"/>
      <c r="F6"/>
      <c r="G6"/>
      <c r="H6"/>
      <c r="I6" s="9"/>
    </row>
    <row r="7" ht="15.75" customHeight="1" spans="1:9" x14ac:dyDescent="0.25">
      <c r="A7" s="11" t="s">
        <v>6</v>
      </c>
      <c r="B7"/>
      <c r="C7"/>
      <c r="D7"/>
      <c r="E7"/>
      <c r="F7"/>
      <c r="G7"/>
      <c r="H7"/>
      <c r="I7" s="9"/>
    </row>
    <row r="8" ht="15.75" customHeight="1" spans="1:9" x14ac:dyDescent="0.25">
      <c r="A8" s="11" t="s">
        <v>7</v>
      </c>
      <c r="B8"/>
      <c r="C8"/>
      <c r="D8"/>
      <c r="E8"/>
      <c r="F8"/>
      <c r="G8"/>
      <c r="H8"/>
      <c r="I8" s="9"/>
    </row>
    <row r="9" ht="15.75" customHeight="1" spans="1:9" x14ac:dyDescent="0.25">
      <c r="A9" s="12" t="s">
        <v>8</v>
      </c>
      <c r="B9" s="13"/>
      <c r="C9" s="14"/>
      <c r="D9" s="15"/>
      <c r="E9" s="16" t="s">
        <v>9</v>
      </c>
      <c r="F9" s="17"/>
      <c r="G9" s="17" t="s">
        <v>10</v>
      </c>
      <c r="H9" s="16" t="s">
        <v>11</v>
      </c>
      <c r="I9" s="14"/>
    </row>
    <row r="10" ht="15.75" customHeight="1" spans="1:9" x14ac:dyDescent="0.25">
      <c r="A10" s="18" t="s">
        <v>12</v>
      </c>
      <c r="B10" s="19"/>
      <c r="C10" s="20"/>
      <c r="D10" s="21"/>
      <c r="E10" s="22" t="s">
        <v>13</v>
      </c>
      <c r="F10" s="23"/>
      <c r="G10" s="23" t="s">
        <v>10</v>
      </c>
      <c r="H10" s="22" t="s">
        <v>14</v>
      </c>
      <c r="I10" s="24"/>
    </row>
    <row r="11" ht="15.75" customHeight="1" spans="1:9" x14ac:dyDescent="0.25">
      <c r="A11" s="25"/>
      <c r="B11" s="19"/>
      <c r="C11" s="20"/>
      <c r="D11" s="21"/>
      <c r="E11" s="22" t="s">
        <v>15</v>
      </c>
      <c r="F11" s="23"/>
      <c r="G11" s="23" t="s">
        <v>10</v>
      </c>
      <c r="H11" s="22" t="s">
        <v>16</v>
      </c>
      <c r="I11" s="24"/>
    </row>
    <row r="12" ht="15.75" customHeight="1" spans="1:9" x14ac:dyDescent="0.25">
      <c r="A12" s="26"/>
      <c r="B12" s="27"/>
      <c r="C12" s="20"/>
      <c r="D12" s="21"/>
      <c r="E12" s="22" t="s">
        <v>17</v>
      </c>
      <c r="F12" s="23"/>
      <c r="G12" s="23" t="s">
        <v>10</v>
      </c>
      <c r="H12" s="22"/>
      <c r="I12" s="24"/>
    </row>
    <row r="13" ht="15.75" customHeight="1" spans="1:9" x14ac:dyDescent="0.25">
      <c r="A13" s="25"/>
      <c r="B13" s="27"/>
      <c r="C13" s="20"/>
      <c r="D13" s="21"/>
      <c r="E13" s="22" t="s">
        <v>18</v>
      </c>
      <c r="F13" s="23"/>
      <c r="G13" s="23" t="s">
        <v>10</v>
      </c>
      <c r="H13" s="22"/>
      <c r="I13" s="24"/>
    </row>
    <row r="14" ht="15.75" customHeight="1" spans="1:9" x14ac:dyDescent="0.25">
      <c r="A14" s="25"/>
      <c r="B14" s="28"/>
      <c r="C14" s="20"/>
      <c r="D14" s="21"/>
      <c r="E14" s="22" t="s">
        <v>19</v>
      </c>
      <c r="F14" s="23"/>
      <c r="G14" s="23" t="s">
        <v>10</v>
      </c>
      <c r="H14" s="22"/>
      <c r="I14" s="24"/>
    </row>
    <row r="15" ht="15.75" customHeight="1" spans="1:9" x14ac:dyDescent="0.25">
      <c r="A15" s="29"/>
      <c r="B15" s="30"/>
      <c r="C15" s="31"/>
      <c r="D15" s="21"/>
      <c r="E15" s="22" t="s">
        <v>20</v>
      </c>
      <c r="F15" s="23"/>
      <c r="G15" s="23" t="s">
        <v>10</v>
      </c>
      <c r="H15" s="22"/>
      <c r="I15" s="24"/>
    </row>
    <row r="16" ht="15.75" customHeight="1" spans="1:9" x14ac:dyDescent="0.25">
      <c r="A16" s="32" t="s">
        <v>21</v>
      </c>
      <c r="B16" s="33"/>
      <c r="C16" s="34"/>
      <c r="D16" s="21"/>
      <c r="E16" s="35"/>
      <c r="F16" s="35"/>
      <c r="G16" s="23"/>
      <c r="H16" s="23"/>
      <c r="I16" s="36"/>
    </row>
    <row r="17" ht="15.75" customHeight="1" spans="1:9" x14ac:dyDescent="0.25">
      <c r="A17" s="25"/>
      <c r="B17" s="37"/>
      <c r="C17" s="20"/>
      <c r="D17" s="21"/>
      <c r="E17" s="22"/>
      <c r="F17" s="23"/>
      <c r="G17" s="23"/>
      <c r="H17" s="23"/>
      <c r="I17" s="36"/>
    </row>
    <row r="18" ht="15.75" customHeight="1" spans="1:9" x14ac:dyDescent="0.25">
      <c r="A18" s="18"/>
      <c r="B18" s="19"/>
      <c r="C18" s="20"/>
      <c r="D18" s="21"/>
      <c r="E18" s="22"/>
      <c r="F18" s="23"/>
      <c r="G18" s="23"/>
      <c r="H18" s="23"/>
      <c r="I18" s="36"/>
    </row>
    <row r="19" ht="15.75" customHeight="1" spans="1:9" x14ac:dyDescent="0.25">
      <c r="A19" s="25"/>
      <c r="B19" s="19"/>
      <c r="C19" s="20"/>
      <c r="D19" s="21"/>
      <c r="E19" s="22"/>
      <c r="F19" s="23"/>
      <c r="G19" s="23"/>
      <c r="H19" s="23"/>
      <c r="I19" s="36"/>
    </row>
    <row r="20" ht="15.75" customHeight="1" spans="1:9" x14ac:dyDescent="0.25">
      <c r="A20" s="25"/>
      <c r="B20" s="19"/>
      <c r="C20" s="20"/>
      <c r="D20" s="21"/>
      <c r="E20" s="22"/>
      <c r="F20" s="23"/>
      <c r="G20" s="23"/>
      <c r="H20" s="23"/>
      <c r="I20" s="36"/>
    </row>
    <row r="21" ht="15.75" customHeight="1" spans="1:9" x14ac:dyDescent="0.25">
      <c r="A21" s="25"/>
      <c r="B21" s="19"/>
      <c r="C21" s="20"/>
      <c r="D21" s="21"/>
      <c r="E21" s="22"/>
      <c r="F21" s="23"/>
      <c r="G21" s="23"/>
      <c r="H21" s="23"/>
      <c r="I21" s="36"/>
    </row>
    <row r="22" ht="15.75" customHeight="1" spans="1:9" x14ac:dyDescent="0.25">
      <c r="A22" s="38"/>
      <c r="B22" s="19"/>
      <c r="C22" s="20"/>
      <c r="D22" s="21"/>
      <c r="E22" s="22"/>
      <c r="F22" s="23"/>
      <c r="G22" s="23"/>
      <c r="H22" s="23"/>
      <c r="I22" s="36"/>
    </row>
    <row r="23" ht="15.75" customHeight="1" spans="1:9" x14ac:dyDescent="0.25">
      <c r="A23" s="29"/>
      <c r="B23" s="39"/>
      <c r="C23" s="31"/>
      <c r="D23" s="21"/>
      <c r="E23" s="21"/>
      <c r="F23" s="23"/>
      <c r="G23" s="23"/>
      <c r="H23" s="23"/>
      <c r="I23" s="36"/>
    </row>
    <row r="24" ht="44.25" customHeight="1" spans="1:9" x14ac:dyDescent="0.25">
      <c r="A24" s="40" t="s">
        <v>22</v>
      </c>
      <c r="B24" s="41" t="s">
        <v>23</v>
      </c>
      <c r="C24" s="42" t="s">
        <v>24</v>
      </c>
      <c r="D24" s="43" t="s">
        <v>25</v>
      </c>
      <c r="E24" s="43" t="s">
        <v>26</v>
      </c>
      <c r="F24" s="42" t="s">
        <v>27</v>
      </c>
      <c r="G24" s="42" t="s">
        <v>28</v>
      </c>
      <c r="H24" s="42" t="s">
        <v>29</v>
      </c>
      <c r="I24" s="44" t="s">
        <v>30</v>
      </c>
    </row>
    <row r="25" ht="44.25" customHeight="1" spans="1:26" x14ac:dyDescent="0.25">
      <c r="A25" s="45">
        <v>1</v>
      </c>
      <c r="B25" s="46" t="s">
        <v>31</v>
      </c>
      <c r="C25" s="47" t="s">
        <v>32</v>
      </c>
      <c r="D25" s="48" t="s">
        <v>33</v>
      </c>
      <c r="E25" s="49">
        <v>2</v>
      </c>
      <c r="F25" s="50">
        <v>6000</v>
      </c>
      <c r="G25" s="51">
        <v>0.18</v>
      </c>
      <c r="H25" s="52">
        <f>(G25*F25)*E25</f>
      </c>
      <c r="I25" s="53">
        <f>F25*E25+H25</f>
      </c>
      <c r="J25" s="54"/>
      <c r="K25" s="55"/>
      <c r="L25" s="56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40.5" customHeight="1" spans="1:26" x14ac:dyDescent="0.25">
      <c r="A26" s="45">
        <v>2</v>
      </c>
      <c r="B26" s="46" t="s">
        <v>34</v>
      </c>
      <c r="C26" s="47" t="s">
        <v>35</v>
      </c>
      <c r="D26" s="48" t="s">
        <v>33</v>
      </c>
      <c r="E26" s="49">
        <v>2</v>
      </c>
      <c r="F26" s="50">
        <v>5000</v>
      </c>
      <c r="G26" s="51">
        <v>0.18</v>
      </c>
      <c r="H26" s="52">
        <f>(G26*F26)*E26</f>
      </c>
      <c r="I26" s="53">
        <f>F26*E26+H26</f>
      </c>
      <c r="J26" s="54"/>
      <c r="K26" s="55"/>
      <c r="L26" s="56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75" customHeight="1" spans="1:26" x14ac:dyDescent="0.25">
      <c r="A27" s="45">
        <v>3</v>
      </c>
      <c r="B27" s="46"/>
      <c r="C27" s="47"/>
      <c r="D27" s="48" t="s">
        <v>33</v>
      </c>
      <c r="E27" s="49"/>
      <c r="F27" s="50"/>
      <c r="G27" s="51">
        <v>0.18</v>
      </c>
      <c r="H27" s="57">
        <f>I27*18/100</f>
      </c>
      <c r="I27" s="53">
        <f>F27*E27</f>
      </c>
      <c r="J27" s="54"/>
      <c r="K27" s="55"/>
      <c r="L27" s="56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 spans="1:26" x14ac:dyDescent="0.25">
      <c r="A28" s="45">
        <f>A27+1</f>
      </c>
      <c r="B28" s="46"/>
      <c r="C28" s="47"/>
      <c r="D28" s="48" t="s">
        <v>33</v>
      </c>
      <c r="E28" s="49"/>
      <c r="F28" s="50"/>
      <c r="G28" s="51">
        <v>0.18</v>
      </c>
      <c r="H28" s="57">
        <f>I28*18/100</f>
      </c>
      <c r="I28" s="53">
        <f>F28*E28</f>
      </c>
      <c r="J28" s="54"/>
      <c r="K28" s="55"/>
      <c r="L28" s="56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15.75" customHeight="1" spans="1:26" x14ac:dyDescent="0.25">
      <c r="A29" s="45"/>
      <c r="B29" s="58"/>
      <c r="C29" s="59"/>
      <c r="D29" s="60"/>
      <c r="E29" s="61"/>
      <c r="F29" s="62"/>
      <c r="G29" s="63"/>
      <c r="H29" s="64">
        <f>I29*18/100</f>
      </c>
      <c r="I29" s="65">
        <f>F29*E29</f>
      </c>
      <c r="J29" s="54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15.75" customHeight="1" spans="1:26" x14ac:dyDescent="0.25">
      <c r="A30" s="66"/>
      <c r="B30" s="67"/>
      <c r="C30" s="68" t="s">
        <v>36</v>
      </c>
      <c r="D30" s="69">
        <f>SUM(D25:D29)</f>
      </c>
      <c r="E30" s="69">
        <f>SUM(E25:E29)</f>
      </c>
      <c r="F30" s="70"/>
      <c r="G30" s="71"/>
      <c r="H30" s="69">
        <f>SUM(H25:H29)</f>
      </c>
      <c r="I30" s="72">
        <f>SUM(I25,I26)</f>
      </c>
      <c r="J30" s="73"/>
      <c r="K30" s="74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33" customHeight="1" spans="1:9" x14ac:dyDescent="0.25">
      <c r="A31" s="75"/>
      <c r="B31" s="76" t="s">
        <v>37</v>
      </c>
      <c r="C31" s="77" t="s">
        <v>38</v>
      </c>
      <c r="D31" s="78" t="s">
        <v>39</v>
      </c>
      <c r="E31" s="78" t="s">
        <v>40</v>
      </c>
      <c r="F31" s="78" t="s">
        <v>41</v>
      </c>
      <c r="G31" s="78" t="s">
        <v>42</v>
      </c>
      <c r="H31" s="79" t="s">
        <v>43</v>
      </c>
      <c r="I31" s="80">
        <v>25960</v>
      </c>
    </row>
    <row r="32" ht="15.75" customHeight="1" spans="1:9" x14ac:dyDescent="0.25">
      <c r="A32" s="75"/>
      <c r="B32" s="81">
        <v>0.18</v>
      </c>
      <c r="C32" s="82">
        <v>22000</v>
      </c>
      <c r="D32" s="83"/>
      <c r="E32" s="83"/>
      <c r="F32" s="52">
        <f>C32*18/100</f>
      </c>
      <c r="G32" s="52">
        <f>SUM(D32:F32)</f>
      </c>
      <c r="H32" s="84"/>
      <c r="I32" s="85"/>
    </row>
    <row r="33" ht="33" customHeight="1" spans="1:11" x14ac:dyDescent="0.25">
      <c r="A33" s="75"/>
      <c r="B33" s="81"/>
      <c r="C33" s="82"/>
      <c r="D33" s="83"/>
      <c r="E33" s="83"/>
      <c r="F33" s="52"/>
      <c r="G33" s="52"/>
      <c r="H33" s="86" t="s">
        <v>44</v>
      </c>
      <c r="I33" s="87"/>
      <c r="K33" s="88"/>
    </row>
    <row r="34" ht="15.75" customHeight="1" spans="1:9" x14ac:dyDescent="0.25">
      <c r="A34" s="89"/>
      <c r="B34" s="90" t="s">
        <v>45</v>
      </c>
      <c r="C34" s="91">
        <f>(C32+G32)</f>
      </c>
      <c r="D34" s="92">
        <f>SUM(D32:D33)</f>
      </c>
      <c r="E34" s="91">
        <f>SUM(E32:E33)</f>
      </c>
      <c r="F34" s="93" t="s">
        <v>46</v>
      </c>
      <c r="G34" s="93" t="s">
        <v>46</v>
      </c>
      <c r="H34" s="94"/>
      <c r="I34" s="95"/>
    </row>
    <row r="35" ht="16.5" customHeight="1" spans="1:9" x14ac:dyDescent="0.25">
      <c r="A35" s="96" t="s">
        <v>47</v>
      </c>
      <c r="B35" s="6"/>
      <c r="C35" s="6"/>
      <c r="D35" s="7"/>
      <c r="E35" s="97" t="s">
        <v>48</v>
      </c>
      <c r="F35" s="98"/>
      <c r="G35" s="99"/>
      <c r="H35" s="100"/>
      <c r="I35" s="9"/>
    </row>
    <row r="36" ht="30" customHeight="1" spans="1:9" x14ac:dyDescent="0.25">
      <c r="A36" s="101">
        <v>1</v>
      </c>
      <c r="B36" s="102" t="s">
        <v>49</v>
      </c>
      <c r="C36" s="103"/>
      <c r="D36" s="104"/>
      <c r="E36" s="105" t="s">
        <v>50</v>
      </c>
      <c r="F36"/>
      <c r="G36" s="9"/>
      <c r="H36" s="106"/>
      <c r="I36" s="24"/>
    </row>
    <row r="37" ht="20.25" customHeight="1" spans="1:9" x14ac:dyDescent="0.25">
      <c r="A37" s="107">
        <f>A36+1</f>
      </c>
      <c r="B37" s="108" t="s">
        <v>51</v>
      </c>
      <c r="C37" s="109"/>
      <c r="D37" s="110"/>
      <c r="E37" s="111" t="s">
        <v>52</v>
      </c>
      <c r="F37" s="111"/>
      <c r="G37" s="105"/>
      <c r="H37" s="106"/>
      <c r="I37" s="24"/>
    </row>
    <row r="38" ht="16.5" customHeight="1" spans="1:9" x14ac:dyDescent="0.25">
      <c r="A38" s="107">
        <v>3</v>
      </c>
      <c r="B38" s="108" t="s">
        <v>53</v>
      </c>
      <c r="C38" s="109"/>
      <c r="D38" s="110"/>
      <c r="E38" s="112" t="s">
        <v>54</v>
      </c>
      <c r="F38" s="113"/>
      <c r="G38" s="105"/>
      <c r="H38" s="100" t="s">
        <v>55</v>
      </c>
      <c r="I38" s="9"/>
    </row>
    <row r="39" ht="15.75" customHeight="1" spans="1:9" x14ac:dyDescent="0.25">
      <c r="A39" s="107">
        <v>4</v>
      </c>
      <c r="B39" s="114" t="s">
        <v>56</v>
      </c>
      <c r="C39"/>
      <c r="D39" s="9"/>
      <c r="E39" s="105" t="s">
        <v>57</v>
      </c>
      <c r="F39"/>
      <c r="G39" s="9"/>
      <c r="H39" s="106"/>
      <c r="I39" s="24"/>
    </row>
    <row r="40" ht="15.75" customHeight="1" spans="1:9" x14ac:dyDescent="0.25">
      <c r="A40" s="115" t="s">
        <v>58</v>
      </c>
      <c r="B40" s="116"/>
      <c r="C40" s="117"/>
      <c r="D40" s="116"/>
      <c r="E40" s="116"/>
      <c r="F40" s="118"/>
      <c r="G40" s="118"/>
      <c r="H40" s="118"/>
      <c r="I40" s="119"/>
    </row>
    <row r="41" ht="15.75" customHeight="1" spans="1:9" x14ac:dyDescent="0.25">
      <c r="A41" s="120" t="s">
        <v>59</v>
      </c>
      <c r="B41" s="121"/>
      <c r="C41" s="122"/>
      <c r="D41" s="123"/>
      <c r="E41" s="123"/>
      <c r="F41" s="123"/>
      <c r="G41" s="123"/>
      <c r="H41" s="123"/>
      <c r="I41" s="124"/>
    </row>
    <row r="42" ht="15.75" customHeight="1" spans="1:9" x14ac:dyDescent="0.25">
      <c r="A42" s="125" t="s">
        <v>60</v>
      </c>
      <c r="B42" s="126"/>
      <c r="C42" s="127"/>
      <c r="D42" s="128"/>
      <c r="E42" s="128"/>
      <c r="F42" s="128"/>
      <c r="G42" s="128"/>
      <c r="H42" s="128"/>
      <c r="I42" s="129"/>
    </row>
    <row r="43" ht="15.75" customHeight="1" spans="1:9" x14ac:dyDescent="0.25">
      <c r="A43" s="130" t="s">
        <v>61</v>
      </c>
      <c r="B43" s="131"/>
      <c r="C43" s="132"/>
      <c r="D43" s="133" t="s">
        <v>62</v>
      </c>
      <c r="E43" s="133"/>
      <c r="F43" s="133"/>
      <c r="G43" s="133"/>
      <c r="H43" s="133"/>
      <c r="I43" s="134"/>
    </row>
    <row r="44" ht="15.75" customHeight="1" spans="1:9" x14ac:dyDescent="0.25">
      <c r="A44" s="135" t="s">
        <v>63</v>
      </c>
      <c r="B44" s="136"/>
      <c r="C44" s="137"/>
      <c r="D44" s="136" t="s">
        <v>64</v>
      </c>
      <c r="E44" s="138"/>
      <c r="F44" s="138"/>
      <c r="G44" s="138"/>
      <c r="H44" s="138"/>
      <c r="I44" s="139"/>
    </row>
    <row r="45" ht="15.75" customHeight="1" spans="2:9" x14ac:dyDescent="0.25">
      <c r="B45" s="140"/>
      <c r="C45" s="141"/>
      <c r="F45" s="35"/>
      <c r="H45" s="35"/>
      <c r="I45" s="35"/>
    </row>
    <row r="46" ht="15.75" customHeight="1" spans="2:9" x14ac:dyDescent="0.25">
      <c r="B46" s="140"/>
      <c r="C46" s="141"/>
      <c r="F46" s="35"/>
      <c r="H46" s="35"/>
      <c r="I46" s="35"/>
    </row>
    <row r="47" ht="15.75" customHeight="1" spans="2:9" x14ac:dyDescent="0.25">
      <c r="B47" s="140"/>
      <c r="C47" s="141"/>
      <c r="F47" s="35"/>
      <c r="H47" s="35"/>
      <c r="I47" s="35"/>
    </row>
    <row r="48" ht="15.75" customHeight="1" spans="2:9" x14ac:dyDescent="0.25">
      <c r="B48" s="140"/>
      <c r="C48" s="141"/>
      <c r="F48" s="35"/>
      <c r="H48" s="35"/>
      <c r="I48" s="35"/>
    </row>
    <row r="49" ht="15.75" customHeight="1" spans="2:9" x14ac:dyDescent="0.25">
      <c r="B49" s="140"/>
      <c r="C49" s="141"/>
      <c r="F49" s="35"/>
      <c r="H49" s="35"/>
      <c r="I49" s="35"/>
    </row>
    <row r="50" ht="15.75" customHeight="1" spans="2:9" x14ac:dyDescent="0.25">
      <c r="B50" s="140"/>
      <c r="C50" s="141"/>
      <c r="F50" s="35"/>
      <c r="H50" s="35"/>
      <c r="I50" s="35"/>
    </row>
    <row r="51" ht="15.75" customHeight="1" spans="2:9" x14ac:dyDescent="0.25">
      <c r="B51" s="140"/>
      <c r="C51" s="141"/>
      <c r="F51" s="35"/>
      <c r="H51" s="35"/>
      <c r="I51" s="35"/>
    </row>
    <row r="52" ht="15.75" customHeight="1" spans="2:9" x14ac:dyDescent="0.25">
      <c r="B52" s="140"/>
      <c r="C52" s="141"/>
      <c r="F52" s="35"/>
      <c r="H52" s="35"/>
      <c r="I52" s="35"/>
    </row>
    <row r="53" ht="15.75" customHeight="1" spans="2:9" x14ac:dyDescent="0.25">
      <c r="B53" s="140"/>
      <c r="C53" s="141"/>
      <c r="F53" s="35"/>
      <c r="H53" s="35"/>
      <c r="I53" s="35"/>
    </row>
    <row r="54" ht="15.75" customHeight="1" spans="2:9" x14ac:dyDescent="0.25">
      <c r="B54" s="140"/>
      <c r="C54" s="141"/>
      <c r="F54" s="35"/>
      <c r="H54" s="35"/>
      <c r="I54" s="35"/>
    </row>
    <row r="55" ht="15.75" customHeight="1" spans="2:9" x14ac:dyDescent="0.25">
      <c r="B55" s="140"/>
      <c r="C55" s="141"/>
      <c r="F55" s="35"/>
      <c r="H55" s="35"/>
      <c r="I55" s="35"/>
    </row>
    <row r="56" ht="15.75" customHeight="1" spans="2:9" x14ac:dyDescent="0.25">
      <c r="B56" s="140"/>
      <c r="C56" s="141"/>
      <c r="F56" s="35"/>
      <c r="H56" s="35"/>
      <c r="I56" s="35"/>
    </row>
    <row r="57" ht="15.75" customHeight="1" spans="2:9" x14ac:dyDescent="0.25">
      <c r="B57" s="140"/>
      <c r="C57" s="141"/>
      <c r="F57" s="35"/>
      <c r="H57" s="35"/>
      <c r="I57" s="35"/>
    </row>
    <row r="58" ht="15.75" customHeight="1" spans="2:9" x14ac:dyDescent="0.25">
      <c r="B58" s="140"/>
      <c r="C58" s="141"/>
      <c r="F58" s="35"/>
      <c r="H58" s="35"/>
      <c r="I58" s="35"/>
    </row>
    <row r="59" ht="15.75" customHeight="1" spans="2:9" x14ac:dyDescent="0.25">
      <c r="B59" s="140"/>
      <c r="C59" s="141"/>
      <c r="F59" s="35"/>
      <c r="H59" s="35"/>
      <c r="I59" s="35"/>
    </row>
    <row r="60" ht="15.75" customHeight="1" spans="2:9" x14ac:dyDescent="0.25">
      <c r="B60" s="140"/>
      <c r="C60" s="141"/>
      <c r="F60" s="35"/>
      <c r="H60" s="35"/>
      <c r="I60" s="35"/>
    </row>
    <row r="61" ht="15.75" customHeight="1" spans="2:9" x14ac:dyDescent="0.25">
      <c r="B61" s="140"/>
      <c r="C61" s="141"/>
      <c r="F61" s="35"/>
      <c r="H61" s="35"/>
      <c r="I61" s="35"/>
    </row>
    <row r="62" ht="15.75" customHeight="1" spans="2:9" x14ac:dyDescent="0.25">
      <c r="B62" s="140"/>
      <c r="C62" s="141"/>
      <c r="F62" s="35"/>
      <c r="H62" s="35"/>
      <c r="I62" s="35"/>
    </row>
    <row r="63" ht="15.75" customHeight="1" spans="2:9" x14ac:dyDescent="0.25">
      <c r="B63" s="140"/>
      <c r="C63" s="141"/>
      <c r="F63" s="35"/>
      <c r="H63" s="35"/>
      <c r="I63" s="35"/>
    </row>
    <row r="64" ht="15.75" customHeight="1" spans="2:9" x14ac:dyDescent="0.25">
      <c r="B64" s="142"/>
      <c r="C64" s="143"/>
      <c r="F64" s="35"/>
      <c r="H64" s="35"/>
      <c r="I64" s="35"/>
    </row>
    <row r="65" ht="15.75" customHeight="1" spans="3:9" x14ac:dyDescent="0.25">
      <c r="C65" s="144"/>
      <c r="F65" s="35"/>
      <c r="H65" s="35"/>
      <c r="I65" s="35"/>
    </row>
    <row r="66" ht="15.75" customHeight="1" spans="3:9" x14ac:dyDescent="0.25">
      <c r="C66" s="144"/>
      <c r="F66" s="35"/>
      <c r="H66" s="35"/>
      <c r="I66" s="35"/>
    </row>
    <row r="67" ht="15.75" customHeight="1" spans="3:9" x14ac:dyDescent="0.25">
      <c r="C67" s="144"/>
      <c r="F67" s="35"/>
      <c r="H67" s="35"/>
      <c r="I67" s="35"/>
    </row>
    <row r="68" ht="15.75" customHeight="1" spans="3:9" x14ac:dyDescent="0.25">
      <c r="C68" s="144"/>
      <c r="F68" s="35"/>
      <c r="H68" s="35"/>
      <c r="I68" s="35"/>
    </row>
    <row r="69" ht="15.75" customHeight="1" spans="3:9" x14ac:dyDescent="0.25">
      <c r="C69" s="144"/>
      <c r="F69" s="35"/>
      <c r="H69" s="35"/>
      <c r="I69" s="35"/>
    </row>
    <row r="70" ht="15.75" customHeight="1" spans="3:9" x14ac:dyDescent="0.25">
      <c r="C70" s="144"/>
      <c r="F70" s="35"/>
      <c r="H70" s="35"/>
      <c r="I70" s="35"/>
    </row>
    <row r="71" ht="15.75" customHeight="1" spans="3:9" x14ac:dyDescent="0.25">
      <c r="C71" s="144"/>
      <c r="F71" s="35"/>
      <c r="H71" s="35"/>
      <c r="I71" s="35"/>
    </row>
    <row r="72" ht="15.75" customHeight="1" spans="3:9" x14ac:dyDescent="0.25">
      <c r="C72" s="144"/>
      <c r="F72" s="35"/>
      <c r="H72" s="35"/>
      <c r="I72" s="35"/>
    </row>
    <row r="73" ht="15.75" customHeight="1" spans="3:9" x14ac:dyDescent="0.25">
      <c r="C73" s="144"/>
      <c r="F73" s="35"/>
      <c r="H73" s="35"/>
      <c r="I73" s="35"/>
    </row>
    <row r="74" ht="15.75" customHeight="1" spans="3:9" x14ac:dyDescent="0.25">
      <c r="C74" s="144"/>
      <c r="F74" s="35"/>
      <c r="H74" s="35"/>
      <c r="I74" s="35"/>
    </row>
    <row r="75" ht="15.75" customHeight="1" spans="3:9" x14ac:dyDescent="0.25">
      <c r="C75" s="144"/>
      <c r="F75" s="35"/>
      <c r="H75" s="35"/>
      <c r="I75" s="35"/>
    </row>
    <row r="76" ht="15.75" customHeight="1" spans="3:9" x14ac:dyDescent="0.25">
      <c r="C76" s="144"/>
      <c r="F76" s="35"/>
      <c r="H76" s="35"/>
      <c r="I76" s="35"/>
    </row>
    <row r="77" ht="15.75" customHeight="1" spans="3:9" x14ac:dyDescent="0.25">
      <c r="C77" s="144"/>
      <c r="F77" s="35"/>
      <c r="H77" s="35"/>
      <c r="I77" s="35"/>
    </row>
    <row r="78" ht="15.75" customHeight="1" spans="3:9" x14ac:dyDescent="0.25">
      <c r="C78" s="144"/>
      <c r="F78" s="35"/>
      <c r="H78" s="35"/>
      <c r="I78" s="35"/>
    </row>
    <row r="79" ht="15.75" customHeight="1" spans="3:9" x14ac:dyDescent="0.25">
      <c r="C79" s="144"/>
      <c r="F79" s="35"/>
      <c r="H79" s="35"/>
      <c r="I79" s="35"/>
    </row>
    <row r="80" ht="15.75" customHeight="1" spans="3:9" x14ac:dyDescent="0.25">
      <c r="C80" s="144"/>
      <c r="F80" s="35"/>
      <c r="H80" s="35"/>
      <c r="I80" s="35"/>
    </row>
    <row r="81" ht="15.75" customHeight="1" spans="3:9" x14ac:dyDescent="0.25">
      <c r="C81" s="144"/>
      <c r="F81" s="35"/>
      <c r="H81" s="35"/>
      <c r="I81" s="35"/>
    </row>
    <row r="82" ht="15.75" customHeight="1" spans="3:9" x14ac:dyDescent="0.25">
      <c r="C82" s="144"/>
      <c r="F82" s="35"/>
      <c r="H82" s="35"/>
      <c r="I82" s="35"/>
    </row>
    <row r="83" ht="15.75" customHeight="1" spans="3:9" x14ac:dyDescent="0.25">
      <c r="C83" s="144"/>
      <c r="F83" s="35"/>
      <c r="H83" s="35"/>
      <c r="I83" s="35"/>
    </row>
    <row r="84" ht="15.75" customHeight="1" spans="3:9" x14ac:dyDescent="0.25">
      <c r="C84" s="144"/>
      <c r="F84" s="35"/>
      <c r="H84" s="35"/>
      <c r="I84" s="35"/>
    </row>
    <row r="85" ht="15.75" customHeight="1" spans="3:9" x14ac:dyDescent="0.25">
      <c r="C85" s="144"/>
      <c r="F85" s="35"/>
      <c r="H85" s="35"/>
      <c r="I85" s="35"/>
    </row>
    <row r="86" ht="15.75" customHeight="1" spans="3:9" x14ac:dyDescent="0.25">
      <c r="C86" s="144"/>
      <c r="F86" s="35"/>
      <c r="H86" s="35"/>
      <c r="I86" s="35"/>
    </row>
    <row r="87" ht="15.75" customHeight="1" spans="3:9" x14ac:dyDescent="0.25">
      <c r="C87" s="144"/>
      <c r="F87" s="35"/>
      <c r="H87" s="35"/>
      <c r="I87" s="35"/>
    </row>
    <row r="88" ht="15.75" customHeight="1" spans="3:9" x14ac:dyDescent="0.25">
      <c r="C88" s="144"/>
      <c r="F88" s="35"/>
      <c r="H88" s="35"/>
      <c r="I88" s="35"/>
    </row>
    <row r="89" ht="15.75" customHeight="1" spans="3:9" x14ac:dyDescent="0.25">
      <c r="C89" s="144"/>
      <c r="F89" s="35"/>
      <c r="H89" s="35"/>
      <c r="I89" s="35"/>
    </row>
    <row r="90" ht="15.75" customHeight="1" spans="3:9" x14ac:dyDescent="0.25">
      <c r="C90" s="144"/>
      <c r="F90" s="35"/>
      <c r="H90" s="35"/>
      <c r="I90" s="35"/>
    </row>
    <row r="91" ht="15.75" customHeight="1" spans="3:9" x14ac:dyDescent="0.25">
      <c r="C91" s="144"/>
      <c r="F91" s="35"/>
      <c r="H91" s="35"/>
      <c r="I91" s="35"/>
    </row>
    <row r="92" ht="15.75" customHeight="1" spans="3:9" x14ac:dyDescent="0.25">
      <c r="C92" s="144"/>
      <c r="F92" s="35"/>
      <c r="H92" s="35"/>
      <c r="I92" s="35"/>
    </row>
    <row r="93" ht="15.75" customHeight="1" spans="3:9" x14ac:dyDescent="0.25">
      <c r="C93" s="144"/>
      <c r="F93" s="35"/>
      <c r="H93" s="35"/>
      <c r="I93" s="35"/>
    </row>
    <row r="94" ht="15.75" customHeight="1" spans="3:9" x14ac:dyDescent="0.25">
      <c r="C94" s="144"/>
      <c r="F94" s="35"/>
      <c r="H94" s="35"/>
      <c r="I94" s="35"/>
    </row>
    <row r="95" ht="15.75" customHeight="1" spans="3:9" x14ac:dyDescent="0.25">
      <c r="C95" s="144"/>
      <c r="F95" s="35"/>
      <c r="H95" s="35"/>
      <c r="I95" s="35"/>
    </row>
    <row r="96" ht="15.75" customHeight="1" spans="3:9" x14ac:dyDescent="0.25">
      <c r="C96" s="144"/>
      <c r="F96" s="35"/>
      <c r="H96" s="35"/>
      <c r="I96" s="35"/>
    </row>
    <row r="97" ht="15.75" customHeight="1" spans="3:9" x14ac:dyDescent="0.25">
      <c r="C97" s="144"/>
      <c r="F97" s="35"/>
      <c r="H97" s="35"/>
      <c r="I97" s="35"/>
    </row>
    <row r="98" ht="15.75" customHeight="1" spans="3:9" x14ac:dyDescent="0.25">
      <c r="C98" s="144"/>
      <c r="F98" s="35"/>
      <c r="H98" s="35"/>
      <c r="I98" s="35"/>
    </row>
    <row r="99" ht="15.75" customHeight="1" spans="3:9" x14ac:dyDescent="0.25">
      <c r="C99" s="144"/>
      <c r="F99" s="35"/>
      <c r="H99" s="35"/>
      <c r="I99" s="35"/>
    </row>
    <row r="100" ht="15.75" customHeight="1" spans="3:9" x14ac:dyDescent="0.25">
      <c r="C100" s="144"/>
      <c r="F100" s="35"/>
      <c r="H100" s="35"/>
      <c r="I100" s="35"/>
    </row>
    <row r="101" ht="15.75" customHeight="1" spans="3:9" x14ac:dyDescent="0.25">
      <c r="C101" s="144"/>
      <c r="F101" s="35"/>
      <c r="H101" s="35"/>
      <c r="I101" s="35"/>
    </row>
    <row r="102" ht="15.75" customHeight="1" spans="3:9" x14ac:dyDescent="0.25">
      <c r="C102" s="144"/>
      <c r="F102" s="35"/>
      <c r="H102" s="35"/>
      <c r="I102" s="35"/>
    </row>
    <row r="103" ht="15.75" customHeight="1" spans="3:9" x14ac:dyDescent="0.25">
      <c r="C103" s="144"/>
      <c r="F103" s="35"/>
      <c r="H103" s="35"/>
      <c r="I103" s="35"/>
    </row>
    <row r="104" ht="15.75" customHeight="1" spans="3:9" x14ac:dyDescent="0.25">
      <c r="C104" s="144"/>
      <c r="F104" s="35"/>
      <c r="H104" s="35"/>
      <c r="I104" s="35"/>
    </row>
    <row r="105" ht="15.75" customHeight="1" spans="3:9" x14ac:dyDescent="0.25">
      <c r="C105" s="144"/>
      <c r="F105" s="35"/>
      <c r="H105" s="35"/>
      <c r="I105" s="35"/>
    </row>
    <row r="106" ht="15.75" customHeight="1" spans="3:9" x14ac:dyDescent="0.25">
      <c r="C106" s="144"/>
      <c r="F106" s="35"/>
      <c r="H106" s="35"/>
      <c r="I106" s="35"/>
    </row>
    <row r="107" ht="15.75" customHeight="1" spans="3:9" x14ac:dyDescent="0.25">
      <c r="C107" s="144"/>
      <c r="F107" s="35"/>
      <c r="H107" s="35"/>
      <c r="I107" s="35"/>
    </row>
    <row r="108" ht="15.75" customHeight="1" spans="3:9" x14ac:dyDescent="0.25">
      <c r="C108" s="144"/>
      <c r="F108" s="35"/>
      <c r="H108" s="35"/>
      <c r="I108" s="35"/>
    </row>
    <row r="109" ht="15.75" customHeight="1" spans="3:9" x14ac:dyDescent="0.25">
      <c r="C109" s="144"/>
      <c r="F109" s="35"/>
      <c r="H109" s="35"/>
      <c r="I109" s="35"/>
    </row>
    <row r="110" ht="15.75" customHeight="1" spans="3:9" x14ac:dyDescent="0.25">
      <c r="C110" s="144"/>
      <c r="F110" s="35"/>
      <c r="H110" s="35"/>
      <c r="I110" s="35"/>
    </row>
    <row r="111" ht="15.75" customHeight="1" spans="3:9" x14ac:dyDescent="0.25">
      <c r="C111" s="144"/>
      <c r="F111" s="35"/>
      <c r="H111" s="35"/>
      <c r="I111" s="35"/>
    </row>
    <row r="112" ht="15.75" customHeight="1" spans="3:9" x14ac:dyDescent="0.25">
      <c r="C112" s="144"/>
      <c r="F112" s="35"/>
      <c r="H112" s="35"/>
      <c r="I112" s="35"/>
    </row>
    <row r="113" ht="15.75" customHeight="1" spans="3:9" x14ac:dyDescent="0.25">
      <c r="C113" s="144"/>
      <c r="F113" s="35"/>
      <c r="H113" s="35"/>
      <c r="I113" s="35"/>
    </row>
    <row r="114" ht="15.75" customHeight="1" spans="3:9" x14ac:dyDescent="0.25">
      <c r="C114" s="144"/>
      <c r="F114" s="35"/>
      <c r="H114" s="35"/>
      <c r="I114" s="35"/>
    </row>
    <row r="115" ht="15.75" customHeight="1" spans="3:9" x14ac:dyDescent="0.25">
      <c r="C115" s="144"/>
      <c r="F115" s="35"/>
      <c r="H115" s="35"/>
      <c r="I115" s="35"/>
    </row>
    <row r="116" ht="15.75" customHeight="1" spans="3:9" x14ac:dyDescent="0.25">
      <c r="C116" s="144"/>
      <c r="F116" s="35"/>
      <c r="H116" s="35"/>
      <c r="I116" s="35"/>
    </row>
    <row r="117" ht="15.75" customHeight="1" spans="3:9" x14ac:dyDescent="0.25">
      <c r="C117" s="144"/>
      <c r="F117" s="35"/>
      <c r="H117" s="35"/>
      <c r="I117" s="35"/>
    </row>
    <row r="118" ht="15.75" customHeight="1" spans="3:9" x14ac:dyDescent="0.25">
      <c r="C118" s="144"/>
      <c r="F118" s="35"/>
      <c r="H118" s="35"/>
      <c r="I118" s="35"/>
    </row>
    <row r="119" ht="15.75" customHeight="1" spans="3:9" x14ac:dyDescent="0.25">
      <c r="C119" s="144"/>
      <c r="F119" s="35"/>
      <c r="H119" s="35"/>
      <c r="I119" s="35"/>
    </row>
    <row r="120" ht="15.75" customHeight="1" spans="3:9" x14ac:dyDescent="0.25">
      <c r="C120" s="144"/>
      <c r="F120" s="35"/>
      <c r="H120" s="35"/>
      <c r="I120" s="35"/>
    </row>
    <row r="121" ht="15.75" customHeight="1" spans="3:9" x14ac:dyDescent="0.25">
      <c r="C121" s="144"/>
      <c r="F121" s="35"/>
      <c r="H121" s="35"/>
      <c r="I121" s="35"/>
    </row>
    <row r="122" ht="15.75" customHeight="1" spans="3:9" x14ac:dyDescent="0.25">
      <c r="C122" s="144"/>
      <c r="F122" s="35"/>
      <c r="H122" s="35"/>
      <c r="I122" s="35"/>
    </row>
    <row r="123" ht="15.75" customHeight="1" spans="3:9" x14ac:dyDescent="0.25">
      <c r="C123" s="144"/>
      <c r="F123" s="35"/>
      <c r="H123" s="35"/>
      <c r="I123" s="35"/>
    </row>
    <row r="124" ht="15.75" customHeight="1" spans="3:9" x14ac:dyDescent="0.25">
      <c r="C124" s="144"/>
      <c r="F124" s="35"/>
      <c r="H124" s="35"/>
      <c r="I124" s="35"/>
    </row>
    <row r="125" ht="15.75" customHeight="1" spans="3:9" x14ac:dyDescent="0.25">
      <c r="C125" s="144"/>
      <c r="F125" s="35"/>
      <c r="H125" s="35"/>
      <c r="I125" s="35"/>
    </row>
    <row r="126" ht="15.75" customHeight="1" spans="3:9" x14ac:dyDescent="0.25">
      <c r="C126" s="144"/>
      <c r="F126" s="35"/>
      <c r="H126" s="35"/>
      <c r="I126" s="35"/>
    </row>
    <row r="127" ht="15.75" customHeight="1" spans="3:9" x14ac:dyDescent="0.25">
      <c r="C127" s="144"/>
      <c r="F127" s="35"/>
      <c r="H127" s="35"/>
      <c r="I127" s="35"/>
    </row>
    <row r="128" ht="15.75" customHeight="1" spans="3:9" x14ac:dyDescent="0.25">
      <c r="C128" s="144"/>
      <c r="F128" s="35"/>
      <c r="H128" s="35"/>
      <c r="I128" s="35"/>
    </row>
    <row r="129" ht="15.75" customHeight="1" spans="3:9" x14ac:dyDescent="0.25">
      <c r="C129" s="144"/>
      <c r="F129" s="35"/>
      <c r="H129" s="35"/>
      <c r="I129" s="35"/>
    </row>
    <row r="130" ht="15.75" customHeight="1" spans="3:9" x14ac:dyDescent="0.25">
      <c r="C130" s="144"/>
      <c r="F130" s="35"/>
      <c r="H130" s="35"/>
      <c r="I130" s="35"/>
    </row>
    <row r="131" ht="15.75" customHeight="1" spans="3:9" x14ac:dyDescent="0.25">
      <c r="C131" s="144"/>
      <c r="F131" s="35"/>
      <c r="H131" s="35"/>
      <c r="I131" s="35"/>
    </row>
    <row r="132" ht="15.75" customHeight="1" spans="3:9" x14ac:dyDescent="0.25">
      <c r="C132" s="144"/>
      <c r="F132" s="35"/>
      <c r="H132" s="35"/>
      <c r="I132" s="35"/>
    </row>
    <row r="133" ht="15.75" customHeight="1" spans="3:9" x14ac:dyDescent="0.25">
      <c r="C133" s="144"/>
      <c r="F133" s="35"/>
      <c r="H133" s="35"/>
      <c r="I133" s="35"/>
    </row>
    <row r="134" ht="15.75" customHeight="1" spans="3:9" x14ac:dyDescent="0.25">
      <c r="C134" s="144"/>
      <c r="F134" s="35"/>
      <c r="H134" s="35"/>
      <c r="I134" s="35"/>
    </row>
    <row r="135" ht="15.75" customHeight="1" spans="3:9" x14ac:dyDescent="0.25">
      <c r="C135" s="144"/>
      <c r="F135" s="35"/>
      <c r="H135" s="35"/>
      <c r="I135" s="35"/>
    </row>
    <row r="136" ht="15.75" customHeight="1" spans="3:9" x14ac:dyDescent="0.25">
      <c r="C136" s="144"/>
      <c r="F136" s="35"/>
      <c r="H136" s="35"/>
      <c r="I136" s="35"/>
    </row>
    <row r="137" ht="15.75" customHeight="1" spans="3:9" x14ac:dyDescent="0.25">
      <c r="C137" s="144"/>
      <c r="F137" s="35"/>
      <c r="H137" s="35"/>
      <c r="I137" s="35"/>
    </row>
    <row r="138" ht="15.75" customHeight="1" spans="3:9" x14ac:dyDescent="0.25">
      <c r="C138" s="144"/>
      <c r="F138" s="35"/>
      <c r="H138" s="35"/>
      <c r="I138" s="35"/>
    </row>
    <row r="139" ht="15.75" customHeight="1" spans="3:9" x14ac:dyDescent="0.25">
      <c r="C139" s="144"/>
      <c r="F139" s="35"/>
      <c r="H139" s="35"/>
      <c r="I139" s="35"/>
    </row>
    <row r="140" ht="15.75" customHeight="1" spans="3:9" x14ac:dyDescent="0.25">
      <c r="C140" s="144"/>
      <c r="F140" s="35"/>
      <c r="H140" s="35"/>
      <c r="I140" s="35"/>
    </row>
    <row r="141" ht="15.75" customHeight="1" spans="3:9" x14ac:dyDescent="0.25">
      <c r="C141" s="144"/>
      <c r="F141" s="35"/>
      <c r="H141" s="35"/>
      <c r="I141" s="35"/>
    </row>
    <row r="142" ht="15.75" customHeight="1" spans="3:9" x14ac:dyDescent="0.25">
      <c r="C142" s="144"/>
      <c r="F142" s="35"/>
      <c r="H142" s="35"/>
      <c r="I142" s="35"/>
    </row>
    <row r="143" ht="15.75" customHeight="1" spans="3:9" x14ac:dyDescent="0.25">
      <c r="C143" s="144"/>
      <c r="F143" s="35"/>
      <c r="H143" s="35"/>
      <c r="I143" s="35"/>
    </row>
    <row r="144" ht="15.75" customHeight="1" spans="3:9" x14ac:dyDescent="0.25">
      <c r="C144" s="144"/>
      <c r="F144" s="35"/>
      <c r="H144" s="35"/>
      <c r="I144" s="35"/>
    </row>
    <row r="145" ht="15.75" customHeight="1" spans="3:9" x14ac:dyDescent="0.25">
      <c r="C145" s="144"/>
      <c r="F145" s="35"/>
      <c r="H145" s="35"/>
      <c r="I145" s="35"/>
    </row>
    <row r="146" ht="15.75" customHeight="1" spans="3:9" x14ac:dyDescent="0.25">
      <c r="C146" s="144"/>
      <c r="F146" s="35"/>
      <c r="H146" s="35"/>
      <c r="I146" s="35"/>
    </row>
    <row r="147" ht="15.75" customHeight="1" spans="3:9" x14ac:dyDescent="0.25">
      <c r="C147" s="144"/>
      <c r="F147" s="35"/>
      <c r="H147" s="35"/>
      <c r="I147" s="35"/>
    </row>
    <row r="148" ht="15.75" customHeight="1" spans="3:9" x14ac:dyDescent="0.25">
      <c r="C148" s="144"/>
      <c r="F148" s="35"/>
      <c r="H148" s="35"/>
      <c r="I148" s="35"/>
    </row>
    <row r="149" ht="15.75" customHeight="1" spans="3:9" x14ac:dyDescent="0.25">
      <c r="C149" s="144"/>
      <c r="F149" s="35"/>
      <c r="H149" s="35"/>
      <c r="I149" s="35"/>
    </row>
    <row r="150" ht="15.75" customHeight="1" spans="3:9" x14ac:dyDescent="0.25">
      <c r="C150" s="144"/>
      <c r="F150" s="35"/>
      <c r="H150" s="35"/>
      <c r="I150" s="35"/>
    </row>
    <row r="151" ht="15.75" customHeight="1" spans="3:9" x14ac:dyDescent="0.25">
      <c r="C151" s="144"/>
      <c r="F151" s="35"/>
      <c r="H151" s="35"/>
      <c r="I151" s="35"/>
    </row>
    <row r="152" ht="15.75" customHeight="1" spans="3:9" x14ac:dyDescent="0.25">
      <c r="C152" s="144"/>
      <c r="F152" s="35"/>
      <c r="H152" s="35"/>
      <c r="I152" s="35"/>
    </row>
    <row r="153" ht="15.75" customHeight="1" spans="3:9" x14ac:dyDescent="0.25">
      <c r="C153" s="144"/>
      <c r="F153" s="35"/>
      <c r="H153" s="35"/>
      <c r="I153" s="35"/>
    </row>
    <row r="154" ht="15.75" customHeight="1" spans="3:9" x14ac:dyDescent="0.25">
      <c r="C154" s="144"/>
      <c r="F154" s="35"/>
      <c r="H154" s="35"/>
      <c r="I154" s="35"/>
    </row>
    <row r="155" ht="15.75" customHeight="1" spans="3:9" x14ac:dyDescent="0.25">
      <c r="C155" s="144"/>
      <c r="F155" s="35"/>
      <c r="H155" s="35"/>
      <c r="I155" s="35"/>
    </row>
    <row r="156" ht="15.75" customHeight="1" spans="3:9" x14ac:dyDescent="0.25">
      <c r="C156" s="144"/>
      <c r="F156" s="35"/>
      <c r="H156" s="35"/>
      <c r="I156" s="35"/>
    </row>
    <row r="157" ht="15.75" customHeight="1" spans="3:9" x14ac:dyDescent="0.25">
      <c r="C157" s="144"/>
      <c r="F157" s="35"/>
      <c r="H157" s="35"/>
      <c r="I157" s="35"/>
    </row>
    <row r="158" ht="15.75" customHeight="1" spans="3:9" x14ac:dyDescent="0.25">
      <c r="C158" s="144"/>
      <c r="F158" s="35"/>
      <c r="H158" s="35"/>
      <c r="I158" s="35"/>
    </row>
    <row r="159" ht="15.75" customHeight="1" spans="3:9" x14ac:dyDescent="0.25">
      <c r="C159" s="144"/>
      <c r="F159" s="35"/>
      <c r="H159" s="35"/>
      <c r="I159" s="35"/>
    </row>
    <row r="160" ht="15.75" customHeight="1" spans="3:9" x14ac:dyDescent="0.25">
      <c r="C160" s="144"/>
      <c r="F160" s="35"/>
      <c r="H160" s="35"/>
      <c r="I160" s="35"/>
    </row>
    <row r="161" ht="15.75" customHeight="1" spans="3:9" x14ac:dyDescent="0.25">
      <c r="C161" s="144"/>
      <c r="F161" s="35"/>
      <c r="H161" s="35"/>
      <c r="I161" s="35"/>
    </row>
    <row r="162" ht="15.75" customHeight="1" spans="3:9" x14ac:dyDescent="0.25">
      <c r="C162" s="144"/>
      <c r="F162" s="35"/>
      <c r="H162" s="35"/>
      <c r="I162" s="35"/>
    </row>
    <row r="163" ht="15.75" customHeight="1" spans="3:9" x14ac:dyDescent="0.25">
      <c r="C163" s="144"/>
      <c r="F163" s="35"/>
      <c r="H163" s="35"/>
      <c r="I163" s="35"/>
    </row>
    <row r="164" ht="15.75" customHeight="1" spans="3:9" x14ac:dyDescent="0.25">
      <c r="C164" s="144"/>
      <c r="F164" s="35"/>
      <c r="H164" s="35"/>
      <c r="I164" s="35"/>
    </row>
    <row r="165" ht="15.75" customHeight="1" spans="3:9" x14ac:dyDescent="0.25">
      <c r="C165" s="144"/>
      <c r="F165" s="35"/>
      <c r="H165" s="35"/>
      <c r="I165" s="35"/>
    </row>
    <row r="166" ht="15.75" customHeight="1" spans="3:9" x14ac:dyDescent="0.25">
      <c r="C166" s="144"/>
      <c r="F166" s="35"/>
      <c r="H166" s="35"/>
      <c r="I166" s="35"/>
    </row>
    <row r="167" ht="15.75" customHeight="1" spans="3:9" x14ac:dyDescent="0.25">
      <c r="C167" s="144"/>
      <c r="F167" s="35"/>
      <c r="H167" s="35"/>
      <c r="I167" s="35"/>
    </row>
    <row r="168" ht="15.75" customHeight="1" spans="3:9" x14ac:dyDescent="0.25">
      <c r="C168" s="144"/>
      <c r="F168" s="35"/>
      <c r="H168" s="35"/>
      <c r="I168" s="35"/>
    </row>
    <row r="169" ht="15.75" customHeight="1" spans="3:9" x14ac:dyDescent="0.25">
      <c r="C169" s="144"/>
      <c r="F169" s="35"/>
      <c r="H169" s="35"/>
      <c r="I169" s="35"/>
    </row>
    <row r="170" ht="15.75" customHeight="1" spans="3:9" x14ac:dyDescent="0.25">
      <c r="C170" s="144"/>
      <c r="F170" s="35"/>
      <c r="H170" s="35"/>
      <c r="I170" s="35"/>
    </row>
    <row r="171" ht="15.75" customHeight="1" spans="3:9" x14ac:dyDescent="0.25">
      <c r="C171" s="144"/>
      <c r="F171" s="35"/>
      <c r="H171" s="35"/>
      <c r="I171" s="35"/>
    </row>
    <row r="172" ht="15.75" customHeight="1" spans="3:9" x14ac:dyDescent="0.25">
      <c r="C172" s="144"/>
      <c r="F172" s="35"/>
      <c r="H172" s="35"/>
      <c r="I172" s="35"/>
    </row>
    <row r="173" ht="15.75" customHeight="1" spans="3:9" x14ac:dyDescent="0.25">
      <c r="C173" s="144"/>
      <c r="F173" s="35"/>
      <c r="H173" s="35"/>
      <c r="I173" s="35"/>
    </row>
    <row r="174" ht="15.75" customHeight="1" spans="3:9" x14ac:dyDescent="0.25">
      <c r="C174" s="144"/>
      <c r="F174" s="35"/>
      <c r="H174" s="35"/>
      <c r="I174" s="35"/>
    </row>
    <row r="175" ht="15.75" customHeight="1" spans="3:9" x14ac:dyDescent="0.25">
      <c r="C175" s="144"/>
      <c r="F175" s="35"/>
      <c r="H175" s="35"/>
      <c r="I175" s="35"/>
    </row>
    <row r="176" ht="15.75" customHeight="1" spans="3:9" x14ac:dyDescent="0.25">
      <c r="C176" s="144"/>
      <c r="F176" s="35"/>
      <c r="H176" s="35"/>
      <c r="I176" s="35"/>
    </row>
    <row r="177" ht="15.75" customHeight="1" spans="3:9" x14ac:dyDescent="0.25">
      <c r="C177" s="144"/>
      <c r="F177" s="35"/>
      <c r="H177" s="35"/>
      <c r="I177" s="35"/>
    </row>
    <row r="178" ht="15.75" customHeight="1" spans="3:9" x14ac:dyDescent="0.25">
      <c r="C178" s="144"/>
      <c r="F178" s="35"/>
      <c r="H178" s="35"/>
      <c r="I178" s="35"/>
    </row>
    <row r="179" ht="15.75" customHeight="1" spans="3:9" x14ac:dyDescent="0.25">
      <c r="C179" s="144"/>
      <c r="F179" s="35"/>
      <c r="H179" s="35"/>
      <c r="I179" s="35"/>
    </row>
    <row r="180" ht="15.75" customHeight="1" spans="3:9" x14ac:dyDescent="0.25">
      <c r="C180" s="144"/>
      <c r="F180" s="35"/>
      <c r="H180" s="35"/>
      <c r="I180" s="35"/>
    </row>
    <row r="181" ht="15.75" customHeight="1" spans="3:9" x14ac:dyDescent="0.25">
      <c r="C181" s="144"/>
      <c r="F181" s="35"/>
      <c r="H181" s="35"/>
      <c r="I181" s="35"/>
    </row>
    <row r="182" ht="15.75" customHeight="1" spans="3:9" x14ac:dyDescent="0.25">
      <c r="C182" s="144"/>
      <c r="F182" s="35"/>
      <c r="H182" s="35"/>
      <c r="I182" s="35"/>
    </row>
    <row r="183" ht="15.75" customHeight="1" spans="3:9" x14ac:dyDescent="0.25">
      <c r="C183" s="144"/>
      <c r="F183" s="35"/>
      <c r="H183" s="35"/>
      <c r="I183" s="35"/>
    </row>
    <row r="184" ht="15.75" customHeight="1" spans="3:9" x14ac:dyDescent="0.25">
      <c r="C184" s="144"/>
      <c r="F184" s="35"/>
      <c r="H184" s="35"/>
      <c r="I184" s="35"/>
    </row>
    <row r="185" ht="15.75" customHeight="1" spans="3:9" x14ac:dyDescent="0.25">
      <c r="C185" s="144"/>
      <c r="F185" s="35"/>
      <c r="H185" s="35"/>
      <c r="I185" s="35"/>
    </row>
    <row r="186" ht="15.75" customHeight="1" spans="3:9" x14ac:dyDescent="0.25">
      <c r="C186" s="144"/>
      <c r="F186" s="35"/>
      <c r="H186" s="35"/>
      <c r="I186" s="35"/>
    </row>
    <row r="187" ht="15.75" customHeight="1" spans="3:9" x14ac:dyDescent="0.25">
      <c r="C187" s="144"/>
      <c r="F187" s="35"/>
      <c r="H187" s="35"/>
      <c r="I187" s="35"/>
    </row>
    <row r="188" ht="15.75" customHeight="1" spans="3:9" x14ac:dyDescent="0.25">
      <c r="C188" s="144"/>
      <c r="F188" s="35"/>
      <c r="H188" s="35"/>
      <c r="I188" s="35"/>
    </row>
    <row r="189" ht="15.75" customHeight="1" spans="3:9" x14ac:dyDescent="0.25">
      <c r="C189" s="144"/>
      <c r="F189" s="35"/>
      <c r="H189" s="35"/>
      <c r="I189" s="35"/>
    </row>
    <row r="190" ht="15.75" customHeight="1" spans="3:9" x14ac:dyDescent="0.25">
      <c r="C190" s="144"/>
      <c r="F190" s="35"/>
      <c r="H190" s="35"/>
      <c r="I190" s="35"/>
    </row>
    <row r="191" ht="15.75" customHeight="1" spans="3:9" x14ac:dyDescent="0.25">
      <c r="C191" s="144"/>
      <c r="F191" s="35"/>
      <c r="H191" s="35"/>
      <c r="I191" s="35"/>
    </row>
    <row r="192" ht="15.75" customHeight="1" spans="3:9" x14ac:dyDescent="0.25">
      <c r="C192" s="144"/>
      <c r="F192" s="35"/>
      <c r="H192" s="35"/>
      <c r="I192" s="35"/>
    </row>
    <row r="193" ht="15.75" customHeight="1" spans="3:9" x14ac:dyDescent="0.25">
      <c r="C193" s="144"/>
      <c r="F193" s="35"/>
      <c r="H193" s="35"/>
      <c r="I193" s="35"/>
    </row>
    <row r="194" ht="15.75" customHeight="1" spans="3:9" x14ac:dyDescent="0.25">
      <c r="C194" s="144"/>
      <c r="F194" s="35"/>
      <c r="H194" s="35"/>
      <c r="I194" s="35"/>
    </row>
    <row r="195" ht="15.75" customHeight="1" spans="3:9" x14ac:dyDescent="0.25">
      <c r="C195" s="144"/>
      <c r="F195" s="35"/>
      <c r="H195" s="35"/>
      <c r="I195" s="35"/>
    </row>
    <row r="196" ht="15.75" customHeight="1" spans="3:9" x14ac:dyDescent="0.25">
      <c r="C196" s="144"/>
      <c r="F196" s="35"/>
      <c r="H196" s="35"/>
      <c r="I196" s="35"/>
    </row>
    <row r="197" ht="15.75" customHeight="1" spans="3:9" x14ac:dyDescent="0.25">
      <c r="C197" s="144"/>
      <c r="F197" s="35"/>
      <c r="H197" s="35"/>
      <c r="I197" s="35"/>
    </row>
    <row r="198" ht="15.75" customHeight="1" spans="3:9" x14ac:dyDescent="0.25">
      <c r="C198" s="144"/>
      <c r="F198" s="35"/>
      <c r="H198" s="35"/>
      <c r="I198" s="35"/>
    </row>
    <row r="199" ht="15.75" customHeight="1" spans="3:9" x14ac:dyDescent="0.25">
      <c r="C199" s="144"/>
      <c r="F199" s="35"/>
      <c r="H199" s="35"/>
      <c r="I199" s="35"/>
    </row>
    <row r="200" ht="15.75" customHeight="1" spans="3:9" x14ac:dyDescent="0.25">
      <c r="C200" s="144"/>
      <c r="F200" s="35"/>
      <c r="H200" s="35"/>
      <c r="I200" s="35"/>
    </row>
    <row r="201" ht="15.75" customHeight="1" spans="3:9" x14ac:dyDescent="0.25">
      <c r="C201" s="144"/>
      <c r="F201" s="35"/>
      <c r="H201" s="35"/>
      <c r="I201" s="35"/>
    </row>
    <row r="202" ht="15.75" customHeight="1" spans="3:9" x14ac:dyDescent="0.25">
      <c r="C202" s="144"/>
      <c r="F202" s="35"/>
      <c r="H202" s="35"/>
      <c r="I202" s="35"/>
    </row>
    <row r="203" ht="15.75" customHeight="1" spans="3:9" x14ac:dyDescent="0.25">
      <c r="C203" s="144"/>
      <c r="F203" s="35"/>
      <c r="H203" s="35"/>
      <c r="I203" s="35"/>
    </row>
    <row r="204" ht="15.75" customHeight="1" spans="3:9" x14ac:dyDescent="0.25">
      <c r="C204" s="144"/>
      <c r="F204" s="35"/>
      <c r="H204" s="35"/>
      <c r="I204" s="35"/>
    </row>
    <row r="205" ht="15.75" customHeight="1" spans="3:9" x14ac:dyDescent="0.25">
      <c r="C205" s="144"/>
      <c r="F205" s="35"/>
      <c r="H205" s="35"/>
      <c r="I205" s="35"/>
    </row>
    <row r="206" ht="15.75" customHeight="1" spans="3:9" x14ac:dyDescent="0.25">
      <c r="C206" s="144"/>
      <c r="F206" s="35"/>
      <c r="H206" s="35"/>
      <c r="I206" s="35"/>
    </row>
    <row r="207" ht="15.75" customHeight="1" spans="3:9" x14ac:dyDescent="0.25">
      <c r="C207" s="144"/>
      <c r="F207" s="35"/>
      <c r="H207" s="35"/>
      <c r="I207" s="35"/>
    </row>
    <row r="208" ht="15.75" customHeight="1" spans="3:9" x14ac:dyDescent="0.25">
      <c r="C208" s="144"/>
      <c r="F208" s="35"/>
      <c r="H208" s="35"/>
      <c r="I208" s="35"/>
    </row>
    <row r="209" ht="15.75" customHeight="1" spans="3:9" x14ac:dyDescent="0.25">
      <c r="C209" s="144"/>
      <c r="F209" s="35"/>
      <c r="H209" s="35"/>
      <c r="I209" s="35"/>
    </row>
    <row r="210" ht="15.75" customHeight="1" spans="3:9" x14ac:dyDescent="0.25">
      <c r="C210" s="144"/>
      <c r="F210" s="35"/>
      <c r="H210" s="35"/>
      <c r="I210" s="35"/>
    </row>
    <row r="211" ht="15.75" customHeight="1" spans="3:9" x14ac:dyDescent="0.25">
      <c r="C211" s="144"/>
      <c r="F211" s="35"/>
      <c r="H211" s="35"/>
      <c r="I211" s="35"/>
    </row>
    <row r="212" ht="15.75" customHeight="1" spans="3:9" x14ac:dyDescent="0.25">
      <c r="C212" s="144"/>
      <c r="F212" s="35"/>
      <c r="H212" s="35"/>
      <c r="I212" s="35"/>
    </row>
    <row r="213" ht="15.75" customHeight="1" spans="3:9" x14ac:dyDescent="0.25">
      <c r="C213" s="144"/>
      <c r="F213" s="35"/>
      <c r="H213" s="35"/>
      <c r="I213" s="35"/>
    </row>
    <row r="214" ht="15.75" customHeight="1" spans="3:9" x14ac:dyDescent="0.25">
      <c r="C214" s="144"/>
      <c r="F214" s="35"/>
      <c r="H214" s="35"/>
      <c r="I214" s="35"/>
    </row>
    <row r="215" ht="15.75" customHeight="1" spans="3:9" x14ac:dyDescent="0.25">
      <c r="C215" s="144"/>
      <c r="F215" s="35"/>
      <c r="H215" s="35"/>
      <c r="I215" s="35"/>
    </row>
    <row r="216" ht="15.75" customHeight="1" spans="3:9" x14ac:dyDescent="0.25">
      <c r="C216" s="144"/>
      <c r="F216" s="35"/>
      <c r="H216" s="35"/>
      <c r="I216" s="35"/>
    </row>
    <row r="217" ht="15.75" customHeight="1" spans="3:9" x14ac:dyDescent="0.25">
      <c r="C217" s="144"/>
      <c r="F217" s="35"/>
      <c r="H217" s="35"/>
      <c r="I217" s="35"/>
    </row>
    <row r="218" ht="15.75" customHeight="1" spans="3:9" x14ac:dyDescent="0.25">
      <c r="C218" s="144"/>
      <c r="F218" s="35"/>
      <c r="H218" s="35"/>
      <c r="I218" s="35"/>
    </row>
    <row r="219" ht="15.75" customHeight="1" spans="3:9" x14ac:dyDescent="0.25">
      <c r="C219" s="144"/>
      <c r="F219" s="35"/>
      <c r="H219" s="35"/>
      <c r="I219" s="35"/>
    </row>
    <row r="220" ht="15.75" customHeight="1" spans="3:9" x14ac:dyDescent="0.25">
      <c r="C220" s="144"/>
      <c r="F220" s="35"/>
      <c r="H220" s="35"/>
      <c r="I220" s="35"/>
    </row>
    <row r="221" ht="15.75" customHeight="1" spans="3:9" x14ac:dyDescent="0.25">
      <c r="C221" s="144"/>
      <c r="F221" s="35"/>
      <c r="H221" s="35"/>
      <c r="I221" s="35"/>
    </row>
    <row r="222" ht="15.75" customHeight="1" spans="3:9" x14ac:dyDescent="0.25">
      <c r="C222" s="144"/>
      <c r="F222" s="35"/>
      <c r="H222" s="35"/>
      <c r="I222" s="35"/>
    </row>
    <row r="223" ht="15.75" customHeight="1" spans="3:9" x14ac:dyDescent="0.25">
      <c r="C223" s="144"/>
      <c r="F223" s="35"/>
      <c r="H223" s="35"/>
      <c r="I223" s="35"/>
    </row>
    <row r="224" ht="15.75" customHeight="1" spans="3:9" x14ac:dyDescent="0.25">
      <c r="C224" s="144"/>
      <c r="F224" s="35"/>
      <c r="H224" s="35"/>
      <c r="I224" s="35"/>
    </row>
    <row r="225" ht="15.75" customHeight="1" spans="3:9" x14ac:dyDescent="0.25">
      <c r="C225" s="144"/>
      <c r="F225" s="35"/>
      <c r="H225" s="35"/>
      <c r="I225" s="35"/>
    </row>
    <row r="226" ht="15.75" customHeight="1" spans="3:9" x14ac:dyDescent="0.25">
      <c r="C226" s="144"/>
      <c r="F226" s="35"/>
      <c r="H226" s="35"/>
      <c r="I226" s="35"/>
    </row>
    <row r="227" ht="15.75" customHeight="1" spans="3:9" x14ac:dyDescent="0.25">
      <c r="C227" s="144"/>
      <c r="F227" s="35"/>
      <c r="H227" s="35"/>
      <c r="I227" s="35"/>
    </row>
    <row r="228" ht="15.75" customHeight="1" spans="3:9" x14ac:dyDescent="0.25">
      <c r="C228" s="144"/>
      <c r="F228" s="35"/>
      <c r="H228" s="35"/>
      <c r="I228" s="35"/>
    </row>
    <row r="229" ht="15.75" customHeight="1" spans="3:9" x14ac:dyDescent="0.25">
      <c r="C229" s="144"/>
      <c r="F229" s="35"/>
      <c r="H229" s="35"/>
      <c r="I229" s="35"/>
    </row>
    <row r="230" ht="15.75" customHeight="1" spans="3:9" x14ac:dyDescent="0.25">
      <c r="C230" s="144"/>
      <c r="F230" s="35"/>
      <c r="H230" s="35"/>
      <c r="I230" s="35"/>
    </row>
    <row r="231" ht="15.75" customHeight="1" spans="3:9" x14ac:dyDescent="0.25">
      <c r="C231" s="144"/>
      <c r="F231" s="35"/>
      <c r="H231" s="35"/>
      <c r="I231" s="35"/>
    </row>
    <row r="232" ht="15.75" customHeight="1" spans="3:9" x14ac:dyDescent="0.25">
      <c r="C232" s="144"/>
      <c r="F232" s="35"/>
      <c r="H232" s="35"/>
      <c r="I232" s="35"/>
    </row>
    <row r="233" ht="15.75" customHeight="1" spans="3:9" x14ac:dyDescent="0.25">
      <c r="C233" s="144"/>
      <c r="F233" s="35"/>
      <c r="H233" s="35"/>
      <c r="I233" s="35"/>
    </row>
    <row r="234" ht="15.75" customHeight="1" spans="3:9" x14ac:dyDescent="0.25">
      <c r="C234" s="144"/>
      <c r="F234" s="35"/>
      <c r="H234" s="35"/>
      <c r="I234" s="35"/>
    </row>
    <row r="235" ht="15.75" customHeight="1" spans="3:9" x14ac:dyDescent="0.25">
      <c r="C235" s="144"/>
      <c r="F235" s="35"/>
      <c r="H235" s="35"/>
      <c r="I235" s="35"/>
    </row>
    <row r="236" ht="15.75" customHeight="1" spans="3:9" x14ac:dyDescent="0.25">
      <c r="C236" s="144"/>
      <c r="F236" s="35"/>
      <c r="H236" s="35"/>
      <c r="I236" s="35"/>
    </row>
    <row r="237" ht="15.75" customHeight="1" spans="3:9" x14ac:dyDescent="0.25">
      <c r="C237" s="144"/>
      <c r="F237" s="35"/>
      <c r="H237" s="35"/>
      <c r="I237" s="35"/>
    </row>
    <row r="238" ht="15.75" customHeight="1" spans="3:9" x14ac:dyDescent="0.25">
      <c r="C238" s="144"/>
      <c r="F238" s="35"/>
      <c r="H238" s="35"/>
      <c r="I238" s="35"/>
    </row>
    <row r="239" ht="15.75" customHeight="1" spans="3:9" x14ac:dyDescent="0.25">
      <c r="C239" s="144"/>
      <c r="F239" s="35"/>
      <c r="H239" s="35"/>
      <c r="I239" s="35"/>
    </row>
    <row r="240" ht="15.75" customHeight="1" spans="3:9" x14ac:dyDescent="0.25">
      <c r="C240" s="144"/>
      <c r="F240" s="35"/>
      <c r="H240" s="35"/>
      <c r="I240" s="35"/>
    </row>
    <row r="241" ht="15.75" customHeight="1" spans="3:9" x14ac:dyDescent="0.25">
      <c r="C241" s="144"/>
      <c r="F241" s="35"/>
      <c r="H241" s="35"/>
      <c r="I241" s="35"/>
    </row>
    <row r="242" ht="15.75" customHeight="1" spans="3:9" x14ac:dyDescent="0.25">
      <c r="C242" s="144"/>
      <c r="F242" s="35"/>
      <c r="H242" s="35"/>
      <c r="I242" s="35"/>
    </row>
    <row r="243" ht="15.75" customHeight="1" spans="3:9" x14ac:dyDescent="0.25">
      <c r="C243" s="144"/>
      <c r="F243" s="35"/>
      <c r="H243" s="35"/>
      <c r="I243" s="35"/>
    </row>
    <row r="244" ht="15.75" customHeight="1" spans="3:9" x14ac:dyDescent="0.25">
      <c r="C244" s="144"/>
      <c r="F244" s="35"/>
      <c r="H244" s="35"/>
      <c r="I244" s="35"/>
    </row>
    <row r="245" ht="15.75" customHeight="1" spans="3:9" x14ac:dyDescent="0.25">
      <c r="C245" s="144"/>
      <c r="F245" s="35"/>
      <c r="H245" s="35"/>
      <c r="I245" s="35"/>
    </row>
    <row r="246" ht="15.75" customHeight="1" spans="3:9" x14ac:dyDescent="0.25">
      <c r="C246" s="144"/>
      <c r="F246" s="35"/>
      <c r="H246" s="35"/>
      <c r="I246" s="35"/>
    </row>
    <row r="247" ht="15.75" customHeight="1" spans="3:9" x14ac:dyDescent="0.25">
      <c r="C247" s="144"/>
      <c r="F247" s="35"/>
      <c r="H247" s="35"/>
      <c r="I247" s="35"/>
    </row>
    <row r="248" ht="15.75" customHeight="1" spans="3:9" x14ac:dyDescent="0.25">
      <c r="C248" s="144"/>
      <c r="F248" s="35"/>
      <c r="H248" s="35"/>
      <c r="I248" s="35"/>
    </row>
    <row r="249" ht="15.75" customHeight="1" spans="3:9" x14ac:dyDescent="0.25">
      <c r="C249" s="144"/>
      <c r="F249" s="35"/>
      <c r="H249" s="35"/>
      <c r="I249" s="35"/>
    </row>
    <row r="250" ht="15.75" customHeight="1" spans="3:9" x14ac:dyDescent="0.25">
      <c r="C250" s="144"/>
      <c r="F250" s="35"/>
      <c r="H250" s="35"/>
      <c r="I250" s="35"/>
    </row>
    <row r="251" ht="15.75" customHeight="1" spans="3:9" x14ac:dyDescent="0.25">
      <c r="C251" s="144"/>
      <c r="F251" s="35"/>
      <c r="H251" s="35"/>
      <c r="I251" s="35"/>
    </row>
    <row r="252" ht="15.75" customHeight="1" spans="3:9" x14ac:dyDescent="0.25">
      <c r="C252" s="144"/>
      <c r="F252" s="35"/>
      <c r="H252" s="35"/>
      <c r="I252" s="35"/>
    </row>
    <row r="253" ht="15.75" customHeight="1" spans="3:9" x14ac:dyDescent="0.25">
      <c r="C253" s="144"/>
      <c r="F253" s="35"/>
      <c r="H253" s="35"/>
      <c r="I253" s="35"/>
    </row>
    <row r="254" ht="15.75" customHeight="1" spans="3:9" x14ac:dyDescent="0.25">
      <c r="C254" s="144"/>
      <c r="F254" s="35"/>
      <c r="H254" s="35"/>
      <c r="I254" s="35"/>
    </row>
    <row r="255" ht="15.75" customHeight="1" spans="3:9" x14ac:dyDescent="0.25">
      <c r="C255" s="144"/>
      <c r="F255" s="35"/>
      <c r="H255" s="35"/>
      <c r="I255" s="35"/>
    </row>
    <row r="256" ht="15.75" customHeight="1" spans="3:9" x14ac:dyDescent="0.25">
      <c r="C256" s="144"/>
      <c r="F256" s="35"/>
      <c r="H256" s="35"/>
      <c r="I256" s="35"/>
    </row>
    <row r="257" ht="15.75" customHeight="1" spans="3:9" x14ac:dyDescent="0.25">
      <c r="C257" s="144"/>
      <c r="F257" s="35"/>
      <c r="H257" s="35"/>
      <c r="I257" s="35"/>
    </row>
    <row r="258" ht="15.75" customHeight="1" spans="3:9" x14ac:dyDescent="0.25">
      <c r="C258" s="144"/>
      <c r="F258" s="35"/>
      <c r="H258" s="35"/>
      <c r="I258" s="35"/>
    </row>
    <row r="259" ht="15.75" customHeight="1" spans="3:9" x14ac:dyDescent="0.25">
      <c r="C259" s="144"/>
      <c r="F259" s="35"/>
      <c r="H259" s="35"/>
      <c r="I259" s="35"/>
    </row>
    <row r="260" ht="15.75" customHeight="1" spans="3:9" x14ac:dyDescent="0.25">
      <c r="C260" s="144"/>
      <c r="F260" s="35"/>
      <c r="H260" s="35"/>
      <c r="I260" s="35"/>
    </row>
    <row r="261" ht="15.75" customHeight="1" spans="3:9" x14ac:dyDescent="0.25">
      <c r="C261" s="144"/>
      <c r="F261" s="35"/>
      <c r="H261" s="35"/>
      <c r="I261" s="35"/>
    </row>
    <row r="262" ht="15.75" customHeight="1" spans="3:9" x14ac:dyDescent="0.25">
      <c r="C262" s="144"/>
      <c r="F262" s="35"/>
      <c r="H262" s="35"/>
      <c r="I262" s="35"/>
    </row>
    <row r="263" ht="15.75" customHeight="1" spans="3:9" x14ac:dyDescent="0.25">
      <c r="C263" s="144"/>
      <c r="F263" s="35"/>
      <c r="H263" s="35"/>
      <c r="I263" s="35"/>
    </row>
    <row r="264" ht="15.75" customHeight="1" spans="3:9" x14ac:dyDescent="0.25">
      <c r="C264" s="144"/>
      <c r="F264" s="35"/>
      <c r="H264" s="35"/>
      <c r="I264" s="35"/>
    </row>
    <row r="265" ht="15.75" customHeight="1" spans="3:9" x14ac:dyDescent="0.25">
      <c r="C265" s="144"/>
      <c r="F265" s="35"/>
      <c r="H265" s="35"/>
      <c r="I265" s="35"/>
    </row>
    <row r="266" ht="15.75" customHeight="1" spans="3:9" x14ac:dyDescent="0.25">
      <c r="C266" s="144"/>
      <c r="F266" s="35"/>
      <c r="H266" s="35"/>
      <c r="I266" s="35"/>
    </row>
    <row r="267" ht="15.75" customHeight="1" spans="3:9" x14ac:dyDescent="0.25">
      <c r="C267" s="144"/>
      <c r="F267" s="35"/>
      <c r="H267" s="35"/>
      <c r="I267" s="35"/>
    </row>
    <row r="268" ht="15.75" customHeight="1" spans="3:9" x14ac:dyDescent="0.25">
      <c r="C268" s="144"/>
      <c r="F268" s="35"/>
      <c r="H268" s="35"/>
      <c r="I268" s="35"/>
    </row>
    <row r="269" ht="15.75" customHeight="1" spans="3:9" x14ac:dyDescent="0.25">
      <c r="C269" s="144"/>
      <c r="F269" s="35"/>
      <c r="H269" s="35"/>
      <c r="I269" s="35"/>
    </row>
    <row r="270" ht="15.75" customHeight="1" spans="3:9" x14ac:dyDescent="0.25">
      <c r="C270" s="144"/>
      <c r="F270" s="35"/>
      <c r="H270" s="35"/>
      <c r="I270" s="35"/>
    </row>
    <row r="271" ht="15.75" customHeight="1" spans="3:9" x14ac:dyDescent="0.25">
      <c r="C271" s="144"/>
      <c r="F271" s="35"/>
      <c r="H271" s="35"/>
      <c r="I271" s="35"/>
    </row>
    <row r="272" ht="15.75" customHeight="1" spans="3:9" x14ac:dyDescent="0.25">
      <c r="C272" s="144"/>
      <c r="F272" s="35"/>
      <c r="H272" s="35"/>
      <c r="I272" s="35"/>
    </row>
    <row r="273" ht="15.75" customHeight="1" spans="3:9" x14ac:dyDescent="0.25">
      <c r="C273" s="144"/>
      <c r="F273" s="35"/>
      <c r="H273" s="35"/>
      <c r="I273" s="35"/>
    </row>
    <row r="274" ht="15.75" customHeight="1" spans="3:9" x14ac:dyDescent="0.25">
      <c r="C274" s="144"/>
      <c r="F274" s="35"/>
      <c r="H274" s="35"/>
      <c r="I274" s="35"/>
    </row>
    <row r="275" ht="15.75" customHeight="1" spans="3:9" x14ac:dyDescent="0.25">
      <c r="C275" s="144"/>
      <c r="F275" s="35"/>
      <c r="H275" s="35"/>
      <c r="I275" s="35"/>
    </row>
    <row r="276" ht="15.75" customHeight="1" spans="3:9" x14ac:dyDescent="0.25">
      <c r="C276" s="144"/>
      <c r="F276" s="35"/>
      <c r="H276" s="35"/>
      <c r="I276" s="35"/>
    </row>
    <row r="277" ht="15.75" customHeight="1" spans="3:9" x14ac:dyDescent="0.25">
      <c r="C277" s="144"/>
      <c r="F277" s="35"/>
      <c r="H277" s="35"/>
      <c r="I277" s="35"/>
    </row>
    <row r="278" ht="15.75" customHeight="1" spans="3:9" x14ac:dyDescent="0.25">
      <c r="C278" s="144"/>
      <c r="F278" s="35"/>
      <c r="H278" s="35"/>
      <c r="I278" s="35"/>
    </row>
    <row r="279" ht="15.75" customHeight="1" spans="3:9" x14ac:dyDescent="0.25">
      <c r="C279" s="144"/>
      <c r="F279" s="35"/>
      <c r="H279" s="35"/>
      <c r="I279" s="35"/>
    </row>
    <row r="280" ht="15.75" customHeight="1" spans="3:9" x14ac:dyDescent="0.25">
      <c r="C280" s="144"/>
      <c r="F280" s="35"/>
      <c r="H280" s="35"/>
      <c r="I280" s="35"/>
    </row>
    <row r="281" ht="15.75" customHeight="1" spans="3:9" x14ac:dyDescent="0.25">
      <c r="C281" s="144"/>
      <c r="F281" s="35"/>
      <c r="H281" s="35"/>
      <c r="I281" s="35"/>
    </row>
    <row r="282" ht="15.75" customHeight="1" spans="3:9" x14ac:dyDescent="0.25">
      <c r="C282" s="144"/>
      <c r="F282" s="35"/>
      <c r="H282" s="35"/>
      <c r="I282" s="35"/>
    </row>
    <row r="283" ht="15.75" customHeight="1" spans="3:9" x14ac:dyDescent="0.25">
      <c r="C283" s="144"/>
      <c r="F283" s="35"/>
      <c r="H283" s="35"/>
      <c r="I283" s="35"/>
    </row>
    <row r="284" ht="15.75" customHeight="1" spans="3:9" x14ac:dyDescent="0.25">
      <c r="C284" s="144"/>
      <c r="F284" s="35"/>
      <c r="H284" s="35"/>
      <c r="I284" s="35"/>
    </row>
    <row r="285" ht="15.75" customHeight="1" spans="3:9" x14ac:dyDescent="0.25">
      <c r="C285" s="144"/>
      <c r="F285" s="35"/>
      <c r="H285" s="35"/>
      <c r="I285" s="35"/>
    </row>
    <row r="286" ht="15.75" customHeight="1" spans="3:9" x14ac:dyDescent="0.25">
      <c r="C286" s="144"/>
      <c r="F286" s="35"/>
      <c r="H286" s="35"/>
      <c r="I286" s="35"/>
    </row>
    <row r="287" ht="15.75" customHeight="1" spans="3:9" x14ac:dyDescent="0.25">
      <c r="C287" s="144"/>
      <c r="F287" s="35"/>
      <c r="H287" s="35"/>
      <c r="I287" s="35"/>
    </row>
    <row r="288" ht="15.75" customHeight="1" spans="3:9" x14ac:dyDescent="0.25">
      <c r="C288" s="144"/>
      <c r="F288" s="35"/>
      <c r="H288" s="35"/>
      <c r="I288" s="35"/>
    </row>
    <row r="289" ht="15.75" customHeight="1" spans="3:9" x14ac:dyDescent="0.25">
      <c r="C289" s="144"/>
      <c r="F289" s="35"/>
      <c r="H289" s="35"/>
      <c r="I289" s="35"/>
    </row>
    <row r="290" ht="15.75" customHeight="1" spans="3:9" x14ac:dyDescent="0.25">
      <c r="C290" s="144"/>
      <c r="F290" s="35"/>
      <c r="H290" s="35"/>
      <c r="I290" s="35"/>
    </row>
    <row r="291" ht="15.75" customHeight="1" spans="3:9" x14ac:dyDescent="0.25">
      <c r="C291" s="144"/>
      <c r="F291" s="35"/>
      <c r="H291" s="35"/>
      <c r="I291" s="35"/>
    </row>
    <row r="292" ht="15.75" customHeight="1" spans="3:9" x14ac:dyDescent="0.25">
      <c r="C292" s="144"/>
      <c r="F292" s="35"/>
      <c r="H292" s="35"/>
      <c r="I292" s="35"/>
    </row>
    <row r="293" ht="15.75" customHeight="1" spans="3:9" x14ac:dyDescent="0.25">
      <c r="C293" s="144"/>
      <c r="F293" s="35"/>
      <c r="H293" s="35"/>
      <c r="I293" s="35"/>
    </row>
    <row r="294" ht="15.75" customHeight="1" spans="3:9" x14ac:dyDescent="0.25">
      <c r="C294" s="144"/>
      <c r="F294" s="35"/>
      <c r="H294" s="35"/>
      <c r="I294" s="35"/>
    </row>
    <row r="295" ht="15.75" customHeight="1" spans="3:9" x14ac:dyDescent="0.25">
      <c r="C295" s="144"/>
      <c r="F295" s="35"/>
      <c r="H295" s="35"/>
      <c r="I295" s="35"/>
    </row>
    <row r="296" ht="15.75" customHeight="1" spans="3:9" x14ac:dyDescent="0.25">
      <c r="C296" s="144"/>
      <c r="F296" s="35"/>
      <c r="H296" s="35"/>
      <c r="I296" s="35"/>
    </row>
    <row r="297" ht="15.75" customHeight="1" spans="3:9" x14ac:dyDescent="0.25">
      <c r="C297" s="144"/>
      <c r="F297" s="35"/>
      <c r="H297" s="35"/>
      <c r="I297" s="35"/>
    </row>
    <row r="298" ht="15.75" customHeight="1" spans="3:9" x14ac:dyDescent="0.25">
      <c r="C298" s="144"/>
      <c r="F298" s="35"/>
      <c r="H298" s="35"/>
      <c r="I298" s="35"/>
    </row>
    <row r="299" ht="15.75" customHeight="1" spans="3:9" x14ac:dyDescent="0.25">
      <c r="C299" s="144"/>
      <c r="F299" s="35"/>
      <c r="H299" s="35"/>
      <c r="I299" s="35"/>
    </row>
    <row r="300" ht="15.75" customHeight="1" spans="3:9" x14ac:dyDescent="0.25">
      <c r="C300" s="144"/>
      <c r="F300" s="35"/>
      <c r="H300" s="35"/>
      <c r="I300" s="35"/>
    </row>
    <row r="301" ht="15.75" customHeight="1" spans="3:9" x14ac:dyDescent="0.25">
      <c r="C301" s="144"/>
      <c r="F301" s="35"/>
      <c r="H301" s="35"/>
      <c r="I301" s="35"/>
    </row>
    <row r="302" ht="15.75" customHeight="1" spans="3:9" x14ac:dyDescent="0.25">
      <c r="C302" s="144"/>
      <c r="F302" s="35"/>
      <c r="H302" s="35"/>
      <c r="I302" s="35"/>
    </row>
    <row r="303" ht="15.75" customHeight="1" spans="3:9" x14ac:dyDescent="0.25">
      <c r="C303" s="144"/>
      <c r="F303" s="35"/>
      <c r="H303" s="35"/>
      <c r="I303" s="35"/>
    </row>
    <row r="304" ht="15.75" customHeight="1" spans="3:9" x14ac:dyDescent="0.25">
      <c r="C304" s="144"/>
      <c r="F304" s="35"/>
      <c r="H304" s="35"/>
      <c r="I304" s="35"/>
    </row>
    <row r="305" ht="15.75" customHeight="1" spans="3:9" x14ac:dyDescent="0.25">
      <c r="C305" s="144"/>
      <c r="F305" s="35"/>
      <c r="H305" s="35"/>
      <c r="I305" s="35"/>
    </row>
    <row r="306" ht="15.75" customHeight="1" spans="3:9" x14ac:dyDescent="0.25">
      <c r="C306" s="144"/>
      <c r="F306" s="35"/>
      <c r="H306" s="35"/>
      <c r="I306" s="35"/>
    </row>
    <row r="307" ht="15.75" customHeight="1" spans="3:9" x14ac:dyDescent="0.25">
      <c r="C307" s="144"/>
      <c r="F307" s="35"/>
      <c r="H307" s="35"/>
      <c r="I307" s="35"/>
    </row>
    <row r="308" ht="15.75" customHeight="1" spans="3:9" x14ac:dyDescent="0.25">
      <c r="C308" s="144"/>
      <c r="F308" s="35"/>
      <c r="H308" s="35"/>
      <c r="I308" s="35"/>
    </row>
    <row r="309" ht="15.75" customHeight="1" spans="3:9" x14ac:dyDescent="0.25">
      <c r="C309" s="144"/>
      <c r="F309" s="35"/>
      <c r="H309" s="35"/>
      <c r="I309" s="35"/>
    </row>
    <row r="310" ht="15.75" customHeight="1" spans="3:9" x14ac:dyDescent="0.25">
      <c r="C310" s="144"/>
      <c r="F310" s="35"/>
      <c r="H310" s="35"/>
      <c r="I310" s="35"/>
    </row>
    <row r="311" ht="15.75" customHeight="1" spans="3:9" x14ac:dyDescent="0.25">
      <c r="C311" s="144"/>
      <c r="F311" s="35"/>
      <c r="H311" s="35"/>
      <c r="I311" s="35"/>
    </row>
    <row r="312" ht="15.75" customHeight="1" spans="3:9" x14ac:dyDescent="0.25">
      <c r="C312" s="144"/>
      <c r="F312" s="35"/>
      <c r="H312" s="35"/>
      <c r="I312" s="35"/>
    </row>
    <row r="313" ht="15.75" customHeight="1" spans="3:9" x14ac:dyDescent="0.25">
      <c r="C313" s="144"/>
      <c r="F313" s="35"/>
      <c r="H313" s="35"/>
      <c r="I313" s="35"/>
    </row>
    <row r="314" ht="15.75" customHeight="1" spans="3:9" x14ac:dyDescent="0.25">
      <c r="C314" s="144"/>
      <c r="F314" s="35"/>
      <c r="H314" s="35"/>
      <c r="I314" s="35"/>
    </row>
    <row r="315" ht="15.75" customHeight="1" spans="3:9" x14ac:dyDescent="0.25">
      <c r="C315" s="144"/>
      <c r="F315" s="35"/>
      <c r="H315" s="35"/>
      <c r="I315" s="35"/>
    </row>
    <row r="316" ht="15.75" customHeight="1" spans="3:9" x14ac:dyDescent="0.25">
      <c r="C316" s="144"/>
      <c r="F316" s="35"/>
      <c r="H316" s="35"/>
      <c r="I316" s="35"/>
    </row>
    <row r="317" ht="15.75" customHeight="1" spans="3:9" x14ac:dyDescent="0.25">
      <c r="C317" s="144"/>
      <c r="F317" s="35"/>
      <c r="H317" s="35"/>
      <c r="I317" s="35"/>
    </row>
    <row r="318" ht="15.75" customHeight="1" spans="3:9" x14ac:dyDescent="0.25">
      <c r="C318" s="144"/>
      <c r="F318" s="35"/>
      <c r="H318" s="35"/>
      <c r="I318" s="35"/>
    </row>
    <row r="319" ht="15.75" customHeight="1" spans="3:9" x14ac:dyDescent="0.25">
      <c r="C319" s="144"/>
      <c r="F319" s="35"/>
      <c r="H319" s="35"/>
      <c r="I319" s="35"/>
    </row>
    <row r="320" ht="15.75" customHeight="1" spans="3:9" x14ac:dyDescent="0.25">
      <c r="C320" s="144"/>
      <c r="F320" s="35"/>
      <c r="H320" s="35"/>
      <c r="I320" s="35"/>
    </row>
    <row r="321" ht="15.75" customHeight="1" spans="3:9" x14ac:dyDescent="0.25">
      <c r="C321" s="144"/>
      <c r="F321" s="35"/>
      <c r="H321" s="35"/>
      <c r="I321" s="35"/>
    </row>
    <row r="322" ht="15.75" customHeight="1" spans="3:9" x14ac:dyDescent="0.25">
      <c r="C322" s="144"/>
      <c r="F322" s="35"/>
      <c r="H322" s="35"/>
      <c r="I322" s="35"/>
    </row>
    <row r="323" ht="15.75" customHeight="1" spans="3:9" x14ac:dyDescent="0.25">
      <c r="C323" s="144"/>
      <c r="F323" s="35"/>
      <c r="H323" s="35"/>
      <c r="I323" s="35"/>
    </row>
    <row r="324" ht="15.75" customHeight="1" spans="3:9" x14ac:dyDescent="0.25">
      <c r="C324" s="144"/>
      <c r="F324" s="35"/>
      <c r="H324" s="35"/>
      <c r="I324" s="35"/>
    </row>
    <row r="325" ht="15.75" customHeight="1" spans="3:9" x14ac:dyDescent="0.25">
      <c r="C325" s="144"/>
      <c r="F325" s="35"/>
      <c r="H325" s="35"/>
      <c r="I325" s="35"/>
    </row>
    <row r="326" ht="15.75" customHeight="1" spans="3:9" x14ac:dyDescent="0.25">
      <c r="C326" s="144"/>
      <c r="F326" s="35"/>
      <c r="H326" s="35"/>
      <c r="I326" s="35"/>
    </row>
    <row r="327" ht="15.75" customHeight="1" spans="3:9" x14ac:dyDescent="0.25">
      <c r="C327" s="144"/>
      <c r="F327" s="35"/>
      <c r="H327" s="35"/>
      <c r="I327" s="35"/>
    </row>
    <row r="328" ht="15.75" customHeight="1" spans="3:9" x14ac:dyDescent="0.25">
      <c r="C328" s="144"/>
      <c r="F328" s="35"/>
      <c r="H328" s="35"/>
      <c r="I328" s="35"/>
    </row>
    <row r="329" ht="15.75" customHeight="1" spans="3:9" x14ac:dyDescent="0.25">
      <c r="C329" s="144"/>
      <c r="F329" s="35"/>
      <c r="H329" s="35"/>
      <c r="I329" s="35"/>
    </row>
    <row r="330" ht="15.75" customHeight="1" spans="3:9" x14ac:dyDescent="0.25">
      <c r="C330" s="144"/>
      <c r="F330" s="35"/>
      <c r="H330" s="35"/>
      <c r="I330" s="35"/>
    </row>
    <row r="331" ht="15.75" customHeight="1" spans="3:9" x14ac:dyDescent="0.25">
      <c r="C331" s="144"/>
      <c r="F331" s="35"/>
      <c r="H331" s="35"/>
      <c r="I331" s="35"/>
    </row>
    <row r="332" ht="15.75" customHeight="1" spans="3:9" x14ac:dyDescent="0.25">
      <c r="C332" s="144"/>
      <c r="F332" s="35"/>
      <c r="H332" s="35"/>
      <c r="I332" s="35"/>
    </row>
    <row r="333" ht="15.75" customHeight="1" spans="3:9" x14ac:dyDescent="0.25">
      <c r="C333" s="144"/>
      <c r="F333" s="35"/>
      <c r="H333" s="35"/>
      <c r="I333" s="35"/>
    </row>
    <row r="334" ht="15.75" customHeight="1" spans="3:9" x14ac:dyDescent="0.25">
      <c r="C334" s="144"/>
      <c r="F334" s="35"/>
      <c r="H334" s="35"/>
      <c r="I334" s="35"/>
    </row>
    <row r="335" ht="15.75" customHeight="1" spans="3:9" x14ac:dyDescent="0.25">
      <c r="C335" s="144"/>
      <c r="F335" s="35"/>
      <c r="H335" s="35"/>
      <c r="I335" s="35"/>
    </row>
    <row r="336" ht="15.75" customHeight="1" spans="3:9" x14ac:dyDescent="0.25">
      <c r="C336" s="144"/>
      <c r="F336" s="35"/>
      <c r="H336" s="35"/>
      <c r="I336" s="35"/>
    </row>
    <row r="337" ht="15.75" customHeight="1" spans="3:9" x14ac:dyDescent="0.25">
      <c r="C337" s="144"/>
      <c r="F337" s="35"/>
      <c r="H337" s="35"/>
      <c r="I337" s="35"/>
    </row>
    <row r="338" ht="15.75" customHeight="1" spans="3:9" x14ac:dyDescent="0.25">
      <c r="C338" s="144"/>
      <c r="F338" s="35"/>
      <c r="H338" s="35"/>
      <c r="I338" s="35"/>
    </row>
    <row r="339" ht="15.75" customHeight="1" spans="3:9" x14ac:dyDescent="0.25">
      <c r="C339" s="144"/>
      <c r="F339" s="35"/>
      <c r="H339" s="35"/>
      <c r="I339" s="35"/>
    </row>
    <row r="340" ht="15.75" customHeight="1" spans="3:9" x14ac:dyDescent="0.25">
      <c r="C340" s="144"/>
      <c r="F340" s="35"/>
      <c r="H340" s="35"/>
      <c r="I340" s="35"/>
    </row>
    <row r="341" ht="15.75" customHeight="1" spans="3:9" x14ac:dyDescent="0.25">
      <c r="C341" s="144"/>
      <c r="F341" s="35"/>
      <c r="H341" s="35"/>
      <c r="I341" s="35"/>
    </row>
    <row r="342" ht="15.75" customHeight="1" spans="3:9" x14ac:dyDescent="0.25">
      <c r="C342" s="144"/>
      <c r="F342" s="35"/>
      <c r="H342" s="35"/>
      <c r="I342" s="35"/>
    </row>
    <row r="343" ht="15.75" customHeight="1" spans="3:9" x14ac:dyDescent="0.25">
      <c r="C343" s="144"/>
      <c r="F343" s="35"/>
      <c r="H343" s="35"/>
      <c r="I343" s="35"/>
    </row>
    <row r="344" ht="15.75" customHeight="1" spans="3:9" x14ac:dyDescent="0.25">
      <c r="C344" s="144"/>
      <c r="F344" s="35"/>
      <c r="H344" s="35"/>
      <c r="I344" s="35"/>
    </row>
    <row r="345" ht="15.75" customHeight="1" spans="3:9" x14ac:dyDescent="0.25">
      <c r="C345" s="144"/>
      <c r="F345" s="35"/>
      <c r="H345" s="35"/>
      <c r="I345" s="35"/>
    </row>
    <row r="346" ht="15.75" customHeight="1" spans="3:9" x14ac:dyDescent="0.25">
      <c r="C346" s="144"/>
      <c r="F346" s="35"/>
      <c r="H346" s="35"/>
      <c r="I346" s="35"/>
    </row>
    <row r="347" ht="15.75" customHeight="1" spans="3:9" x14ac:dyDescent="0.25">
      <c r="C347" s="144"/>
      <c r="F347" s="35"/>
      <c r="H347" s="35"/>
      <c r="I347" s="35"/>
    </row>
    <row r="348" ht="15.75" customHeight="1" spans="3:9" x14ac:dyDescent="0.25">
      <c r="C348" s="144"/>
      <c r="F348" s="35"/>
      <c r="H348" s="35"/>
      <c r="I348" s="35"/>
    </row>
    <row r="349" ht="15.75" customHeight="1" spans="3:9" x14ac:dyDescent="0.25">
      <c r="C349" s="144"/>
      <c r="F349" s="35"/>
      <c r="H349" s="35"/>
      <c r="I349" s="35"/>
    </row>
    <row r="350" ht="15.75" customHeight="1" spans="3:9" x14ac:dyDescent="0.25">
      <c r="C350" s="144"/>
      <c r="F350" s="35"/>
      <c r="H350" s="35"/>
      <c r="I350" s="35"/>
    </row>
    <row r="351" ht="15.75" customHeight="1" spans="3:9" x14ac:dyDescent="0.25">
      <c r="C351" s="144"/>
      <c r="F351" s="35"/>
      <c r="H351" s="35"/>
      <c r="I351" s="35"/>
    </row>
    <row r="352" ht="15.75" customHeight="1" spans="3:9" x14ac:dyDescent="0.25">
      <c r="C352" s="144"/>
      <c r="F352" s="35"/>
      <c r="H352" s="35"/>
      <c r="I352" s="35"/>
    </row>
    <row r="353" ht="15.75" customHeight="1" spans="3:9" x14ac:dyDescent="0.25">
      <c r="C353" s="144"/>
      <c r="F353" s="35"/>
      <c r="H353" s="35"/>
      <c r="I353" s="35"/>
    </row>
    <row r="354" ht="15.75" customHeight="1" spans="3:9" x14ac:dyDescent="0.25">
      <c r="C354" s="144"/>
      <c r="F354" s="35"/>
      <c r="H354" s="35"/>
      <c r="I354" s="35"/>
    </row>
    <row r="355" ht="15.75" customHeight="1" spans="3:9" x14ac:dyDescent="0.25">
      <c r="C355" s="144"/>
      <c r="F355" s="35"/>
      <c r="H355" s="35"/>
      <c r="I355" s="35"/>
    </row>
    <row r="356" ht="15.75" customHeight="1" spans="3:9" x14ac:dyDescent="0.25">
      <c r="C356" s="144"/>
      <c r="F356" s="35"/>
      <c r="H356" s="35"/>
      <c r="I356" s="35"/>
    </row>
    <row r="357" ht="15.75" customHeight="1" spans="3:9" x14ac:dyDescent="0.25">
      <c r="C357" s="144"/>
      <c r="F357" s="35"/>
      <c r="H357" s="35"/>
      <c r="I357" s="35"/>
    </row>
    <row r="358" ht="15.75" customHeight="1" spans="3:9" x14ac:dyDescent="0.25">
      <c r="C358" s="144"/>
      <c r="F358" s="35"/>
      <c r="H358" s="35"/>
      <c r="I358" s="35"/>
    </row>
    <row r="359" ht="15.75" customHeight="1" spans="3:9" x14ac:dyDescent="0.25">
      <c r="C359" s="144"/>
      <c r="F359" s="35"/>
      <c r="H359" s="35"/>
      <c r="I359" s="35"/>
    </row>
    <row r="360" ht="15.75" customHeight="1" spans="3:9" x14ac:dyDescent="0.25">
      <c r="C360" s="144"/>
      <c r="F360" s="35"/>
      <c r="H360" s="35"/>
      <c r="I360" s="35"/>
    </row>
    <row r="361" ht="15.75" customHeight="1" spans="3:9" x14ac:dyDescent="0.25">
      <c r="C361" s="144"/>
      <c r="F361" s="35"/>
      <c r="H361" s="35"/>
      <c r="I361" s="35"/>
    </row>
    <row r="362" ht="15.75" customHeight="1" spans="3:9" x14ac:dyDescent="0.25">
      <c r="C362" s="144"/>
      <c r="F362" s="35"/>
      <c r="H362" s="35"/>
      <c r="I362" s="35"/>
    </row>
    <row r="363" ht="15.75" customHeight="1" spans="3:9" x14ac:dyDescent="0.25">
      <c r="C363" s="144"/>
      <c r="F363" s="35"/>
      <c r="H363" s="35"/>
      <c r="I363" s="35"/>
    </row>
    <row r="364" ht="15.75" customHeight="1" spans="3:9" x14ac:dyDescent="0.25">
      <c r="C364" s="144"/>
      <c r="F364" s="35"/>
      <c r="H364" s="35"/>
      <c r="I364" s="35"/>
    </row>
    <row r="365" ht="15.75" customHeight="1" spans="3:9" x14ac:dyDescent="0.25">
      <c r="C365" s="144"/>
      <c r="F365" s="35"/>
      <c r="H365" s="35"/>
      <c r="I365" s="35"/>
    </row>
    <row r="366" ht="15.75" customHeight="1" spans="3:9" x14ac:dyDescent="0.25">
      <c r="C366" s="144"/>
      <c r="F366" s="35"/>
      <c r="H366" s="35"/>
      <c r="I366" s="35"/>
    </row>
    <row r="367" ht="15.75" customHeight="1" spans="3:9" x14ac:dyDescent="0.25">
      <c r="C367" s="144"/>
      <c r="F367" s="35"/>
      <c r="H367" s="35"/>
      <c r="I367" s="35"/>
    </row>
    <row r="368" ht="15.75" customHeight="1" spans="3:9" x14ac:dyDescent="0.25">
      <c r="C368" s="144"/>
      <c r="F368" s="35"/>
      <c r="H368" s="35"/>
      <c r="I368" s="35"/>
    </row>
    <row r="369" ht="15.75" customHeight="1" spans="3:9" x14ac:dyDescent="0.25">
      <c r="C369" s="144"/>
      <c r="F369" s="35"/>
      <c r="H369" s="35"/>
      <c r="I369" s="35"/>
    </row>
    <row r="370" ht="15.75" customHeight="1" spans="3:9" x14ac:dyDescent="0.25">
      <c r="C370" s="144"/>
      <c r="F370" s="35"/>
      <c r="H370" s="35"/>
      <c r="I370" s="35"/>
    </row>
    <row r="371" ht="15.75" customHeight="1" spans="3:9" x14ac:dyDescent="0.25">
      <c r="C371" s="144"/>
      <c r="F371" s="35"/>
      <c r="H371" s="35"/>
      <c r="I371" s="35"/>
    </row>
    <row r="372" ht="15.75" customHeight="1" spans="3:9" x14ac:dyDescent="0.25">
      <c r="C372" s="144"/>
      <c r="F372" s="35"/>
      <c r="H372" s="35"/>
      <c r="I372" s="35"/>
    </row>
    <row r="373" ht="15.75" customHeight="1" spans="3:9" x14ac:dyDescent="0.25">
      <c r="C373" s="144"/>
      <c r="F373" s="35"/>
      <c r="H373" s="35"/>
      <c r="I373" s="35"/>
    </row>
    <row r="374" ht="15.75" customHeight="1" spans="3:9" x14ac:dyDescent="0.25">
      <c r="C374" s="144"/>
      <c r="F374" s="35"/>
      <c r="H374" s="35"/>
      <c r="I374" s="35"/>
    </row>
    <row r="375" ht="15.75" customHeight="1" spans="3:9" x14ac:dyDescent="0.25">
      <c r="C375" s="144"/>
      <c r="F375" s="35"/>
      <c r="H375" s="35"/>
      <c r="I375" s="35"/>
    </row>
    <row r="376" ht="15.75" customHeight="1" spans="3:9" x14ac:dyDescent="0.25">
      <c r="C376" s="144"/>
      <c r="F376" s="35"/>
      <c r="H376" s="35"/>
      <c r="I376" s="35"/>
    </row>
    <row r="377" ht="15.75" customHeight="1" spans="3:9" x14ac:dyDescent="0.25">
      <c r="C377" s="144"/>
      <c r="F377" s="35"/>
      <c r="H377" s="35"/>
      <c r="I377" s="35"/>
    </row>
    <row r="378" ht="15.75" customHeight="1" spans="3:9" x14ac:dyDescent="0.25">
      <c r="C378" s="144"/>
      <c r="F378" s="35"/>
      <c r="H378" s="35"/>
      <c r="I378" s="35"/>
    </row>
    <row r="379" ht="15.75" customHeight="1" spans="3:9" x14ac:dyDescent="0.25">
      <c r="C379" s="144"/>
      <c r="F379" s="35"/>
      <c r="H379" s="35"/>
      <c r="I379" s="35"/>
    </row>
    <row r="380" ht="15.75" customHeight="1" spans="3:9" x14ac:dyDescent="0.25">
      <c r="C380" s="144"/>
      <c r="F380" s="35"/>
      <c r="H380" s="35"/>
      <c r="I380" s="35"/>
    </row>
    <row r="381" ht="15.75" customHeight="1" spans="3:9" x14ac:dyDescent="0.25">
      <c r="C381" s="144"/>
      <c r="F381" s="35"/>
      <c r="H381" s="35"/>
      <c r="I381" s="35"/>
    </row>
    <row r="382" ht="15.75" customHeight="1" spans="3:9" x14ac:dyDescent="0.25">
      <c r="C382" s="144"/>
      <c r="F382" s="35"/>
      <c r="H382" s="35"/>
      <c r="I382" s="35"/>
    </row>
    <row r="383" ht="15.75" customHeight="1" spans="3:9" x14ac:dyDescent="0.25">
      <c r="C383" s="144"/>
      <c r="F383" s="35"/>
      <c r="H383" s="35"/>
      <c r="I383" s="35"/>
    </row>
    <row r="384" ht="15.75" customHeight="1" spans="3:9" x14ac:dyDescent="0.25">
      <c r="C384" s="144"/>
      <c r="F384" s="35"/>
      <c r="H384" s="35"/>
      <c r="I384" s="35"/>
    </row>
    <row r="385" ht="15.75" customHeight="1" spans="3:9" x14ac:dyDescent="0.25">
      <c r="C385" s="144"/>
      <c r="F385" s="35"/>
      <c r="H385" s="35"/>
      <c r="I385" s="35"/>
    </row>
    <row r="386" ht="15.75" customHeight="1" spans="3:9" x14ac:dyDescent="0.25">
      <c r="C386" s="144"/>
      <c r="F386" s="35"/>
      <c r="H386" s="35"/>
      <c r="I386" s="35"/>
    </row>
    <row r="387" ht="15.75" customHeight="1" spans="3:9" x14ac:dyDescent="0.25">
      <c r="C387" s="144"/>
      <c r="F387" s="35"/>
      <c r="H387" s="35"/>
      <c r="I387" s="35"/>
    </row>
    <row r="388" ht="15.75" customHeight="1" spans="3:9" x14ac:dyDescent="0.25">
      <c r="C388" s="144"/>
      <c r="F388" s="35"/>
      <c r="H388" s="35"/>
      <c r="I388" s="35"/>
    </row>
    <row r="389" ht="15.75" customHeight="1" spans="3:9" x14ac:dyDescent="0.25">
      <c r="C389" s="144"/>
      <c r="F389" s="35"/>
      <c r="H389" s="35"/>
      <c r="I389" s="35"/>
    </row>
    <row r="390" ht="15.75" customHeight="1" spans="3:9" x14ac:dyDescent="0.25">
      <c r="C390" s="144"/>
      <c r="F390" s="35"/>
      <c r="H390" s="35"/>
      <c r="I390" s="35"/>
    </row>
    <row r="391" ht="15.75" customHeight="1" spans="3:9" x14ac:dyDescent="0.25">
      <c r="C391" s="144"/>
      <c r="F391" s="35"/>
      <c r="H391" s="35"/>
      <c r="I391" s="35"/>
    </row>
    <row r="392" ht="15.75" customHeight="1" spans="3:9" x14ac:dyDescent="0.25">
      <c r="C392" s="144"/>
      <c r="F392" s="35"/>
      <c r="H392" s="35"/>
      <c r="I392" s="35"/>
    </row>
    <row r="393" ht="15.75" customHeight="1" spans="3:9" x14ac:dyDescent="0.25">
      <c r="C393" s="144"/>
      <c r="F393" s="35"/>
      <c r="H393" s="35"/>
      <c r="I393" s="35"/>
    </row>
    <row r="394" ht="15.75" customHeight="1" spans="3:9" x14ac:dyDescent="0.25">
      <c r="C394" s="144"/>
      <c r="F394" s="35"/>
      <c r="H394" s="35"/>
      <c r="I394" s="35"/>
    </row>
    <row r="395" ht="15.75" customHeight="1" spans="3:9" x14ac:dyDescent="0.25">
      <c r="C395" s="144"/>
      <c r="F395" s="35"/>
      <c r="H395" s="35"/>
      <c r="I395" s="35"/>
    </row>
    <row r="396" ht="15.75" customHeight="1" spans="3:9" x14ac:dyDescent="0.25">
      <c r="C396" s="144"/>
      <c r="F396" s="35"/>
      <c r="H396" s="35"/>
      <c r="I396" s="35"/>
    </row>
    <row r="397" ht="15.75" customHeight="1" spans="3:9" x14ac:dyDescent="0.25">
      <c r="C397" s="144"/>
      <c r="F397" s="35"/>
      <c r="H397" s="35"/>
      <c r="I397" s="35"/>
    </row>
    <row r="398" ht="15.75" customHeight="1" spans="3:9" x14ac:dyDescent="0.25">
      <c r="C398" s="144"/>
      <c r="F398" s="35"/>
      <c r="H398" s="35"/>
      <c r="I398" s="35"/>
    </row>
    <row r="399" ht="15.75" customHeight="1" spans="3:9" x14ac:dyDescent="0.25">
      <c r="C399" s="144"/>
      <c r="F399" s="35"/>
      <c r="H399" s="35"/>
      <c r="I399" s="35"/>
    </row>
    <row r="400" ht="15.75" customHeight="1" spans="3:9" x14ac:dyDescent="0.25">
      <c r="C400" s="144"/>
      <c r="F400" s="35"/>
      <c r="H400" s="35"/>
      <c r="I400" s="35"/>
    </row>
    <row r="401" ht="15.75" customHeight="1" spans="3:9" x14ac:dyDescent="0.25">
      <c r="C401" s="144"/>
      <c r="F401" s="35"/>
      <c r="H401" s="35"/>
      <c r="I401" s="35"/>
    </row>
    <row r="402" ht="15.75" customHeight="1" spans="3:9" x14ac:dyDescent="0.25">
      <c r="C402" s="144"/>
      <c r="F402" s="35"/>
      <c r="H402" s="35"/>
      <c r="I402" s="35"/>
    </row>
    <row r="403" ht="15.75" customHeight="1" spans="3:9" x14ac:dyDescent="0.25">
      <c r="C403" s="144"/>
      <c r="F403" s="35"/>
      <c r="H403" s="35"/>
      <c r="I403" s="35"/>
    </row>
    <row r="404" ht="15.75" customHeight="1" spans="3:9" x14ac:dyDescent="0.25">
      <c r="C404" s="144"/>
      <c r="F404" s="35"/>
      <c r="H404" s="35"/>
      <c r="I404" s="35"/>
    </row>
    <row r="405" ht="15.75" customHeight="1" spans="3:9" x14ac:dyDescent="0.25">
      <c r="C405" s="144"/>
      <c r="F405" s="35"/>
      <c r="H405" s="35"/>
      <c r="I405" s="35"/>
    </row>
    <row r="406" ht="15.75" customHeight="1" spans="3:9" x14ac:dyDescent="0.25">
      <c r="C406" s="144"/>
      <c r="F406" s="35"/>
      <c r="H406" s="35"/>
      <c r="I406" s="35"/>
    </row>
    <row r="407" ht="15.75" customHeight="1" spans="3:9" x14ac:dyDescent="0.25">
      <c r="C407" s="144"/>
      <c r="F407" s="35"/>
      <c r="H407" s="35"/>
      <c r="I407" s="35"/>
    </row>
    <row r="408" ht="15.75" customHeight="1" spans="3:9" x14ac:dyDescent="0.25">
      <c r="C408" s="144"/>
      <c r="F408" s="35"/>
      <c r="H408" s="35"/>
      <c r="I408" s="35"/>
    </row>
    <row r="409" ht="15.75" customHeight="1" spans="3:9" x14ac:dyDescent="0.25">
      <c r="C409" s="144"/>
      <c r="F409" s="35"/>
      <c r="H409" s="35"/>
      <c r="I409" s="35"/>
    </row>
    <row r="410" ht="15.75" customHeight="1" spans="3:9" x14ac:dyDescent="0.25">
      <c r="C410" s="144"/>
      <c r="F410" s="35"/>
      <c r="H410" s="35"/>
      <c r="I410" s="35"/>
    </row>
    <row r="411" ht="15.75" customHeight="1" spans="3:9" x14ac:dyDescent="0.25">
      <c r="C411" s="144"/>
      <c r="F411" s="35"/>
      <c r="H411" s="35"/>
      <c r="I411" s="35"/>
    </row>
    <row r="412" ht="15.75" customHeight="1" spans="3:9" x14ac:dyDescent="0.25">
      <c r="C412" s="144"/>
      <c r="F412" s="35"/>
      <c r="H412" s="35"/>
      <c r="I412" s="35"/>
    </row>
    <row r="413" ht="15.75" customHeight="1" spans="3:9" x14ac:dyDescent="0.25">
      <c r="C413" s="144"/>
      <c r="F413" s="35"/>
      <c r="H413" s="35"/>
      <c r="I413" s="35"/>
    </row>
    <row r="414" ht="15.75" customHeight="1" spans="3:9" x14ac:dyDescent="0.25">
      <c r="C414" s="144"/>
      <c r="F414" s="35"/>
      <c r="H414" s="35"/>
      <c r="I414" s="35"/>
    </row>
    <row r="415" ht="15.75" customHeight="1" spans="3:9" x14ac:dyDescent="0.25">
      <c r="C415" s="144"/>
      <c r="F415" s="35"/>
      <c r="H415" s="35"/>
      <c r="I415" s="35"/>
    </row>
    <row r="416" ht="15.75" customHeight="1" spans="3:9" x14ac:dyDescent="0.25">
      <c r="C416" s="144"/>
      <c r="F416" s="35"/>
      <c r="H416" s="35"/>
      <c r="I416" s="35"/>
    </row>
    <row r="417" ht="15.75" customHeight="1" spans="3:9" x14ac:dyDescent="0.25">
      <c r="C417" s="144"/>
      <c r="F417" s="35"/>
      <c r="H417" s="35"/>
      <c r="I417" s="35"/>
    </row>
    <row r="418" ht="15.75" customHeight="1" spans="3:9" x14ac:dyDescent="0.25">
      <c r="C418" s="144"/>
      <c r="F418" s="35"/>
      <c r="H418" s="35"/>
      <c r="I418" s="35"/>
    </row>
    <row r="419" ht="15.75" customHeight="1" spans="3:9" x14ac:dyDescent="0.25">
      <c r="C419" s="144"/>
      <c r="F419" s="35"/>
      <c r="H419" s="35"/>
      <c r="I419" s="35"/>
    </row>
    <row r="420" ht="15.75" customHeight="1" spans="3:9" x14ac:dyDescent="0.25">
      <c r="C420" s="144"/>
      <c r="F420" s="35"/>
      <c r="H420" s="35"/>
      <c r="I420" s="35"/>
    </row>
    <row r="421" ht="15.75" customHeight="1" spans="3:9" x14ac:dyDescent="0.25">
      <c r="C421" s="144"/>
      <c r="F421" s="35"/>
      <c r="H421" s="35"/>
      <c r="I421" s="35"/>
    </row>
    <row r="422" ht="15.75" customHeight="1" spans="3:9" x14ac:dyDescent="0.25">
      <c r="C422" s="144"/>
      <c r="F422" s="35"/>
      <c r="H422" s="35"/>
      <c r="I422" s="35"/>
    </row>
    <row r="423" ht="15.75" customHeight="1" spans="3:9" x14ac:dyDescent="0.25">
      <c r="C423" s="144"/>
      <c r="F423" s="35"/>
      <c r="H423" s="35"/>
      <c r="I423" s="35"/>
    </row>
    <row r="424" ht="15.75" customHeight="1" spans="3:9" x14ac:dyDescent="0.25">
      <c r="C424" s="144"/>
      <c r="F424" s="35"/>
      <c r="H424" s="35"/>
      <c r="I424" s="35"/>
    </row>
    <row r="425" ht="15.75" customHeight="1" spans="3:9" x14ac:dyDescent="0.25">
      <c r="C425" s="144"/>
      <c r="F425" s="35"/>
      <c r="H425" s="35"/>
      <c r="I425" s="35"/>
    </row>
    <row r="426" ht="15.75" customHeight="1" spans="3:9" x14ac:dyDescent="0.25">
      <c r="C426" s="144"/>
      <c r="F426" s="35"/>
      <c r="H426" s="35"/>
      <c r="I426" s="35"/>
    </row>
    <row r="427" ht="15.75" customHeight="1" spans="3:9" x14ac:dyDescent="0.25">
      <c r="C427" s="144"/>
      <c r="F427" s="35"/>
      <c r="H427" s="35"/>
      <c r="I427" s="35"/>
    </row>
    <row r="428" ht="15.75" customHeight="1" spans="3:9" x14ac:dyDescent="0.25">
      <c r="C428" s="144"/>
      <c r="F428" s="35"/>
      <c r="H428" s="35"/>
      <c r="I428" s="35"/>
    </row>
    <row r="429" ht="15.75" customHeight="1" spans="3:9" x14ac:dyDescent="0.25">
      <c r="C429" s="144"/>
      <c r="F429" s="35"/>
      <c r="H429" s="35"/>
      <c r="I429" s="35"/>
    </row>
    <row r="430" ht="15.75" customHeight="1" spans="3:9" x14ac:dyDescent="0.25">
      <c r="C430" s="144"/>
      <c r="F430" s="35"/>
      <c r="H430" s="35"/>
      <c r="I430" s="35"/>
    </row>
    <row r="431" ht="15.75" customHeight="1" spans="3:9" x14ac:dyDescent="0.25">
      <c r="C431" s="144"/>
      <c r="F431" s="35"/>
      <c r="H431" s="35"/>
      <c r="I431" s="35"/>
    </row>
    <row r="432" ht="15.75" customHeight="1" spans="3:9" x14ac:dyDescent="0.25">
      <c r="C432" s="144"/>
      <c r="F432" s="35"/>
      <c r="H432" s="35"/>
      <c r="I432" s="35"/>
    </row>
    <row r="433" ht="15.75" customHeight="1" spans="3:9" x14ac:dyDescent="0.25">
      <c r="C433" s="144"/>
      <c r="F433" s="35"/>
      <c r="H433" s="35"/>
      <c r="I433" s="35"/>
    </row>
    <row r="434" ht="15.75" customHeight="1" spans="3:9" x14ac:dyDescent="0.25">
      <c r="C434" s="144"/>
      <c r="F434" s="35"/>
      <c r="H434" s="35"/>
      <c r="I434" s="35"/>
    </row>
    <row r="435" ht="15.75" customHeight="1" spans="3:9" x14ac:dyDescent="0.25">
      <c r="C435" s="144"/>
      <c r="F435" s="35"/>
      <c r="H435" s="35"/>
      <c r="I435" s="35"/>
    </row>
    <row r="436" ht="15.75" customHeight="1" spans="3:9" x14ac:dyDescent="0.25">
      <c r="C436" s="144"/>
      <c r="F436" s="35"/>
      <c r="H436" s="35"/>
      <c r="I436" s="35"/>
    </row>
    <row r="437" ht="15.75" customHeight="1" spans="3:9" x14ac:dyDescent="0.25">
      <c r="C437" s="144"/>
      <c r="F437" s="35"/>
      <c r="H437" s="35"/>
      <c r="I437" s="35"/>
    </row>
    <row r="438" ht="15.75" customHeight="1" spans="3:9" x14ac:dyDescent="0.25">
      <c r="C438" s="144"/>
      <c r="F438" s="35"/>
      <c r="H438" s="35"/>
      <c r="I438" s="35"/>
    </row>
    <row r="439" ht="15.75" customHeight="1" spans="3:9" x14ac:dyDescent="0.25">
      <c r="C439" s="144"/>
      <c r="F439" s="35"/>
      <c r="H439" s="35"/>
      <c r="I439" s="35"/>
    </row>
    <row r="440" ht="15.75" customHeight="1" spans="3:9" x14ac:dyDescent="0.25">
      <c r="C440" s="144"/>
      <c r="F440" s="35"/>
      <c r="H440" s="35"/>
      <c r="I440" s="35"/>
    </row>
    <row r="441" ht="15.75" customHeight="1" spans="3:9" x14ac:dyDescent="0.25">
      <c r="C441" s="144"/>
      <c r="F441" s="35"/>
      <c r="H441" s="35"/>
      <c r="I441" s="35"/>
    </row>
    <row r="442" ht="15.75" customHeight="1" spans="3:9" x14ac:dyDescent="0.25">
      <c r="C442" s="144"/>
      <c r="F442" s="35"/>
      <c r="H442" s="35"/>
      <c r="I442" s="35"/>
    </row>
    <row r="443" ht="15.75" customHeight="1" spans="3:9" x14ac:dyDescent="0.25">
      <c r="C443" s="144"/>
      <c r="F443" s="35"/>
      <c r="H443" s="35"/>
      <c r="I443" s="35"/>
    </row>
    <row r="444" ht="15.75" customHeight="1" spans="3:9" x14ac:dyDescent="0.25">
      <c r="C444" s="144"/>
      <c r="F444" s="35"/>
      <c r="H444" s="35"/>
      <c r="I444" s="35"/>
    </row>
    <row r="445" ht="15.75" customHeight="1" spans="3:9" x14ac:dyDescent="0.25">
      <c r="C445" s="144"/>
      <c r="F445" s="35"/>
      <c r="H445" s="35"/>
      <c r="I445" s="35"/>
    </row>
    <row r="446" ht="15.75" customHeight="1" spans="3:9" x14ac:dyDescent="0.25">
      <c r="C446" s="144"/>
      <c r="F446" s="35"/>
      <c r="H446" s="35"/>
      <c r="I446" s="35"/>
    </row>
    <row r="447" ht="15.75" customHeight="1" spans="3:9" x14ac:dyDescent="0.25">
      <c r="C447" s="144"/>
      <c r="F447" s="35"/>
      <c r="H447" s="35"/>
      <c r="I447" s="35"/>
    </row>
    <row r="448" ht="15.75" customHeight="1" spans="3:9" x14ac:dyDescent="0.25">
      <c r="C448" s="144"/>
      <c r="F448" s="35"/>
      <c r="H448" s="35"/>
      <c r="I448" s="35"/>
    </row>
    <row r="449" ht="15.75" customHeight="1" spans="3:9" x14ac:dyDescent="0.25">
      <c r="C449" s="144"/>
      <c r="F449" s="35"/>
      <c r="H449" s="35"/>
      <c r="I449" s="35"/>
    </row>
    <row r="450" ht="15.75" customHeight="1" spans="3:9" x14ac:dyDescent="0.25">
      <c r="C450" s="144"/>
      <c r="F450" s="35"/>
      <c r="H450" s="35"/>
      <c r="I450" s="35"/>
    </row>
    <row r="451" ht="15.75" customHeight="1" spans="3:9" x14ac:dyDescent="0.25">
      <c r="C451" s="144"/>
      <c r="F451" s="35"/>
      <c r="H451" s="35"/>
      <c r="I451" s="35"/>
    </row>
    <row r="452" ht="15.75" customHeight="1" spans="3:9" x14ac:dyDescent="0.25">
      <c r="C452" s="144"/>
      <c r="F452" s="35"/>
      <c r="H452" s="35"/>
      <c r="I452" s="35"/>
    </row>
    <row r="453" ht="15.75" customHeight="1" spans="3:9" x14ac:dyDescent="0.25">
      <c r="C453" s="144"/>
      <c r="F453" s="35"/>
      <c r="H453" s="35"/>
      <c r="I453" s="35"/>
    </row>
    <row r="454" ht="15.75" customHeight="1" spans="3:9" x14ac:dyDescent="0.25">
      <c r="C454" s="144"/>
      <c r="F454" s="35"/>
      <c r="H454" s="35"/>
      <c r="I454" s="35"/>
    </row>
    <row r="455" ht="15.75" customHeight="1" spans="3:9" x14ac:dyDescent="0.25">
      <c r="C455" s="144"/>
      <c r="F455" s="35"/>
      <c r="H455" s="35"/>
      <c r="I455" s="35"/>
    </row>
    <row r="456" ht="15.75" customHeight="1" spans="3:9" x14ac:dyDescent="0.25">
      <c r="C456" s="144"/>
      <c r="F456" s="35"/>
      <c r="H456" s="35"/>
      <c r="I456" s="35"/>
    </row>
    <row r="457" ht="15.75" customHeight="1" spans="3:9" x14ac:dyDescent="0.25">
      <c r="C457" s="144"/>
      <c r="F457" s="35"/>
      <c r="H457" s="35"/>
      <c r="I457" s="35"/>
    </row>
    <row r="458" ht="15.75" customHeight="1" spans="3:9" x14ac:dyDescent="0.25">
      <c r="C458" s="144"/>
      <c r="F458" s="35"/>
      <c r="H458" s="35"/>
      <c r="I458" s="35"/>
    </row>
    <row r="459" ht="15.75" customHeight="1" spans="3:9" x14ac:dyDescent="0.25">
      <c r="C459" s="144"/>
      <c r="F459" s="35"/>
      <c r="H459" s="35"/>
      <c r="I459" s="35"/>
    </row>
    <row r="460" ht="15.75" customHeight="1" spans="3:9" x14ac:dyDescent="0.25">
      <c r="C460" s="144"/>
      <c r="F460" s="35"/>
      <c r="H460" s="35"/>
      <c r="I460" s="35"/>
    </row>
    <row r="461" ht="15.75" customHeight="1" spans="3:9" x14ac:dyDescent="0.25">
      <c r="C461" s="144"/>
      <c r="F461" s="35"/>
      <c r="H461" s="35"/>
      <c r="I461" s="35"/>
    </row>
    <row r="462" ht="15.75" customHeight="1" spans="3:9" x14ac:dyDescent="0.25">
      <c r="C462" s="144"/>
      <c r="F462" s="35"/>
      <c r="H462" s="35"/>
      <c r="I462" s="35"/>
    </row>
    <row r="463" ht="15.75" customHeight="1" spans="3:9" x14ac:dyDescent="0.25">
      <c r="C463" s="144"/>
      <c r="F463" s="35"/>
      <c r="H463" s="35"/>
      <c r="I463" s="35"/>
    </row>
    <row r="464" ht="15.75" customHeight="1" spans="3:9" x14ac:dyDescent="0.25">
      <c r="C464" s="144"/>
      <c r="F464" s="35"/>
      <c r="H464" s="35"/>
      <c r="I464" s="35"/>
    </row>
    <row r="465" ht="15.75" customHeight="1" spans="3:9" x14ac:dyDescent="0.25">
      <c r="C465" s="144"/>
      <c r="F465" s="35"/>
      <c r="H465" s="35"/>
      <c r="I465" s="35"/>
    </row>
    <row r="466" ht="15.75" customHeight="1" spans="3:9" x14ac:dyDescent="0.25">
      <c r="C466" s="144"/>
      <c r="F466" s="35"/>
      <c r="H466" s="35"/>
      <c r="I466" s="35"/>
    </row>
    <row r="467" ht="15.75" customHeight="1" spans="3:9" x14ac:dyDescent="0.25">
      <c r="C467" s="144"/>
      <c r="F467" s="35"/>
      <c r="H467" s="35"/>
      <c r="I467" s="35"/>
    </row>
    <row r="468" ht="15.75" customHeight="1" spans="3:9" x14ac:dyDescent="0.25">
      <c r="C468" s="144"/>
      <c r="F468" s="35"/>
      <c r="H468" s="35"/>
      <c r="I468" s="35"/>
    </row>
    <row r="469" ht="15.75" customHeight="1" spans="3:9" x14ac:dyDescent="0.25">
      <c r="C469" s="144"/>
      <c r="F469" s="35"/>
      <c r="H469" s="35"/>
      <c r="I469" s="35"/>
    </row>
    <row r="470" ht="15.75" customHeight="1" spans="3:9" x14ac:dyDescent="0.25">
      <c r="C470" s="144"/>
      <c r="F470" s="35"/>
      <c r="H470" s="35"/>
      <c r="I470" s="35"/>
    </row>
    <row r="471" ht="15.75" customHeight="1" spans="3:9" x14ac:dyDescent="0.25">
      <c r="C471" s="144"/>
      <c r="F471" s="35"/>
      <c r="H471" s="35"/>
      <c r="I471" s="35"/>
    </row>
    <row r="472" ht="15.75" customHeight="1" spans="3:9" x14ac:dyDescent="0.25">
      <c r="C472" s="144"/>
      <c r="F472" s="35"/>
      <c r="H472" s="35"/>
      <c r="I472" s="35"/>
    </row>
    <row r="473" ht="15.75" customHeight="1" spans="3:9" x14ac:dyDescent="0.25">
      <c r="C473" s="144"/>
      <c r="F473" s="35"/>
      <c r="H473" s="35"/>
      <c r="I473" s="35"/>
    </row>
    <row r="474" ht="15.75" customHeight="1" spans="3:9" x14ac:dyDescent="0.25">
      <c r="C474" s="144"/>
      <c r="F474" s="35"/>
      <c r="H474" s="35"/>
      <c r="I474" s="35"/>
    </row>
    <row r="475" ht="15.75" customHeight="1" spans="3:9" x14ac:dyDescent="0.25">
      <c r="C475" s="144"/>
      <c r="F475" s="35"/>
      <c r="H475" s="35"/>
      <c r="I475" s="35"/>
    </row>
    <row r="476" ht="15.75" customHeight="1" spans="3:9" x14ac:dyDescent="0.25">
      <c r="C476" s="144"/>
      <c r="F476" s="35"/>
      <c r="H476" s="35"/>
      <c r="I476" s="35"/>
    </row>
    <row r="477" ht="15.75" customHeight="1" spans="3:9" x14ac:dyDescent="0.25">
      <c r="C477" s="144"/>
      <c r="F477" s="35"/>
      <c r="H477" s="35"/>
      <c r="I477" s="35"/>
    </row>
    <row r="478" ht="15.75" customHeight="1" spans="3:9" x14ac:dyDescent="0.25">
      <c r="C478" s="144"/>
      <c r="F478" s="35"/>
      <c r="H478" s="35"/>
      <c r="I478" s="35"/>
    </row>
    <row r="479" ht="15.75" customHeight="1" spans="3:9" x14ac:dyDescent="0.25">
      <c r="C479" s="144"/>
      <c r="F479" s="35"/>
      <c r="H479" s="35"/>
      <c r="I479" s="35"/>
    </row>
    <row r="480" ht="15.75" customHeight="1" spans="3:9" x14ac:dyDescent="0.25">
      <c r="C480" s="144"/>
      <c r="F480" s="35"/>
      <c r="H480" s="35"/>
      <c r="I480" s="35"/>
    </row>
    <row r="481" ht="15.75" customHeight="1" spans="3:9" x14ac:dyDescent="0.25">
      <c r="C481" s="144"/>
      <c r="F481" s="35"/>
      <c r="H481" s="35"/>
      <c r="I481" s="35"/>
    </row>
    <row r="482" ht="15.75" customHeight="1" spans="3:9" x14ac:dyDescent="0.25">
      <c r="C482" s="144"/>
      <c r="F482" s="35"/>
      <c r="H482" s="35"/>
      <c r="I482" s="35"/>
    </row>
    <row r="483" ht="15.75" customHeight="1" spans="3:9" x14ac:dyDescent="0.25">
      <c r="C483" s="144"/>
      <c r="F483" s="35"/>
      <c r="H483" s="35"/>
      <c r="I483" s="35"/>
    </row>
    <row r="484" ht="15.75" customHeight="1" spans="3:9" x14ac:dyDescent="0.25">
      <c r="C484" s="144"/>
      <c r="F484" s="35"/>
      <c r="H484" s="35"/>
      <c r="I484" s="35"/>
    </row>
    <row r="485" ht="15.75" customHeight="1" spans="3:9" x14ac:dyDescent="0.25">
      <c r="C485" s="144"/>
      <c r="F485" s="35"/>
      <c r="H485" s="35"/>
      <c r="I485" s="35"/>
    </row>
    <row r="486" ht="15.75" customHeight="1" spans="3:9" x14ac:dyDescent="0.25">
      <c r="C486" s="144"/>
      <c r="F486" s="35"/>
      <c r="H486" s="35"/>
      <c r="I486" s="35"/>
    </row>
    <row r="487" ht="15.75" customHeight="1" spans="3:9" x14ac:dyDescent="0.25">
      <c r="C487" s="144"/>
      <c r="F487" s="35"/>
      <c r="H487" s="35"/>
      <c r="I487" s="35"/>
    </row>
    <row r="488" ht="15.75" customHeight="1" spans="3:9" x14ac:dyDescent="0.25">
      <c r="C488" s="144"/>
      <c r="F488" s="35"/>
      <c r="H488" s="35"/>
      <c r="I488" s="35"/>
    </row>
    <row r="489" ht="15.75" customHeight="1" spans="3:9" x14ac:dyDescent="0.25">
      <c r="C489" s="144"/>
      <c r="F489" s="35"/>
      <c r="H489" s="35"/>
      <c r="I489" s="35"/>
    </row>
    <row r="490" ht="15.75" customHeight="1" spans="3:9" x14ac:dyDescent="0.25">
      <c r="C490" s="144"/>
      <c r="F490" s="35"/>
      <c r="H490" s="35"/>
      <c r="I490" s="35"/>
    </row>
    <row r="491" ht="15.75" customHeight="1" spans="3:9" x14ac:dyDescent="0.25">
      <c r="C491" s="144"/>
      <c r="F491" s="35"/>
      <c r="H491" s="35"/>
      <c r="I491" s="35"/>
    </row>
    <row r="492" ht="15.75" customHeight="1" spans="3:9" x14ac:dyDescent="0.25">
      <c r="C492" s="144"/>
      <c r="F492" s="35"/>
      <c r="H492" s="35"/>
      <c r="I492" s="35"/>
    </row>
    <row r="493" ht="15.75" customHeight="1" spans="3:9" x14ac:dyDescent="0.25">
      <c r="C493" s="144"/>
      <c r="F493" s="35"/>
      <c r="H493" s="35"/>
      <c r="I493" s="35"/>
    </row>
    <row r="494" ht="15.75" customHeight="1" spans="3:9" x14ac:dyDescent="0.25">
      <c r="C494" s="144"/>
      <c r="F494" s="35"/>
      <c r="H494" s="35"/>
      <c r="I494" s="35"/>
    </row>
    <row r="495" ht="15.75" customHeight="1" spans="3:9" x14ac:dyDescent="0.25">
      <c r="C495" s="144"/>
      <c r="F495" s="35"/>
      <c r="H495" s="35"/>
      <c r="I495" s="35"/>
    </row>
    <row r="496" ht="15.75" customHeight="1" spans="3:9" x14ac:dyDescent="0.25">
      <c r="C496" s="144"/>
      <c r="F496" s="35"/>
      <c r="H496" s="35"/>
      <c r="I496" s="35"/>
    </row>
    <row r="497" ht="15.75" customHeight="1" spans="3:9" x14ac:dyDescent="0.25">
      <c r="C497" s="144"/>
      <c r="F497" s="35"/>
      <c r="H497" s="35"/>
      <c r="I497" s="35"/>
    </row>
    <row r="498" ht="15.75" customHeight="1" spans="3:9" x14ac:dyDescent="0.25">
      <c r="C498" s="144"/>
      <c r="F498" s="35"/>
      <c r="H498" s="35"/>
      <c r="I498" s="35"/>
    </row>
    <row r="499" ht="15.75" customHeight="1" spans="3:9" x14ac:dyDescent="0.25">
      <c r="C499" s="144"/>
      <c r="F499" s="35"/>
      <c r="H499" s="35"/>
      <c r="I499" s="35"/>
    </row>
    <row r="500" ht="15.75" customHeight="1" spans="3:9" x14ac:dyDescent="0.25">
      <c r="C500" s="144"/>
      <c r="F500" s="35"/>
      <c r="H500" s="35"/>
      <c r="I500" s="35"/>
    </row>
    <row r="501" ht="15.75" customHeight="1" spans="3:9" x14ac:dyDescent="0.25">
      <c r="C501" s="144"/>
      <c r="F501" s="35"/>
      <c r="H501" s="35"/>
      <c r="I501" s="35"/>
    </row>
    <row r="502" ht="15.75" customHeight="1" spans="3:9" x14ac:dyDescent="0.25">
      <c r="C502" s="144"/>
      <c r="F502" s="35"/>
      <c r="H502" s="35"/>
      <c r="I502" s="35"/>
    </row>
    <row r="503" ht="15.75" customHeight="1" spans="3:9" x14ac:dyDescent="0.25">
      <c r="C503" s="144"/>
      <c r="F503" s="35"/>
      <c r="H503" s="35"/>
      <c r="I503" s="35"/>
    </row>
    <row r="504" ht="15.75" customHeight="1" spans="3:9" x14ac:dyDescent="0.25">
      <c r="C504" s="144"/>
      <c r="F504" s="35"/>
      <c r="H504" s="35"/>
      <c r="I504" s="35"/>
    </row>
    <row r="505" ht="15.75" customHeight="1" spans="3:9" x14ac:dyDescent="0.25">
      <c r="C505" s="144"/>
      <c r="F505" s="35"/>
      <c r="H505" s="35"/>
      <c r="I505" s="35"/>
    </row>
    <row r="506" ht="15.75" customHeight="1" spans="3:9" x14ac:dyDescent="0.25">
      <c r="C506" s="144"/>
      <c r="F506" s="35"/>
      <c r="H506" s="35"/>
      <c r="I506" s="35"/>
    </row>
    <row r="507" ht="15.75" customHeight="1" spans="3:9" x14ac:dyDescent="0.25">
      <c r="C507" s="144"/>
      <c r="F507" s="35"/>
      <c r="H507" s="35"/>
      <c r="I507" s="35"/>
    </row>
    <row r="508" ht="15.75" customHeight="1" spans="3:9" x14ac:dyDescent="0.25">
      <c r="C508" s="144"/>
      <c r="F508" s="35"/>
      <c r="H508" s="35"/>
      <c r="I508" s="35"/>
    </row>
    <row r="509" ht="15.75" customHeight="1" spans="3:9" x14ac:dyDescent="0.25">
      <c r="C509" s="144"/>
      <c r="F509" s="35"/>
      <c r="H509" s="35"/>
      <c r="I509" s="35"/>
    </row>
    <row r="510" ht="15.75" customHeight="1" spans="3:9" x14ac:dyDescent="0.25">
      <c r="C510" s="144"/>
      <c r="F510" s="35"/>
      <c r="H510" s="35"/>
      <c r="I510" s="35"/>
    </row>
    <row r="511" ht="15.75" customHeight="1" spans="3:9" x14ac:dyDescent="0.25">
      <c r="C511" s="144"/>
      <c r="F511" s="35"/>
      <c r="H511" s="35"/>
      <c r="I511" s="35"/>
    </row>
    <row r="512" ht="15.75" customHeight="1" spans="3:9" x14ac:dyDescent="0.25">
      <c r="C512" s="144"/>
      <c r="F512" s="35"/>
      <c r="H512" s="35"/>
      <c r="I512" s="35"/>
    </row>
    <row r="513" ht="15.75" customHeight="1" spans="3:9" x14ac:dyDescent="0.25">
      <c r="C513" s="144"/>
      <c r="F513" s="35"/>
      <c r="H513" s="35"/>
      <c r="I513" s="35"/>
    </row>
    <row r="514" ht="15.75" customHeight="1" spans="3:9" x14ac:dyDescent="0.25">
      <c r="C514" s="144"/>
      <c r="F514" s="35"/>
      <c r="H514" s="35"/>
      <c r="I514" s="35"/>
    </row>
    <row r="515" ht="15.75" customHeight="1" spans="3:9" x14ac:dyDescent="0.25">
      <c r="C515" s="144"/>
      <c r="F515" s="35"/>
      <c r="H515" s="35"/>
      <c r="I515" s="35"/>
    </row>
    <row r="516" ht="15.75" customHeight="1" spans="3:9" x14ac:dyDescent="0.25">
      <c r="C516" s="144"/>
      <c r="F516" s="35"/>
      <c r="H516" s="35"/>
      <c r="I516" s="35"/>
    </row>
    <row r="517" ht="15.75" customHeight="1" spans="3:9" x14ac:dyDescent="0.25">
      <c r="C517" s="144"/>
      <c r="F517" s="35"/>
      <c r="H517" s="35"/>
      <c r="I517" s="35"/>
    </row>
    <row r="518" ht="15.75" customHeight="1" spans="3:9" x14ac:dyDescent="0.25">
      <c r="C518" s="144"/>
      <c r="F518" s="35"/>
      <c r="H518" s="35"/>
      <c r="I518" s="35"/>
    </row>
    <row r="519" ht="15.75" customHeight="1" spans="3:9" x14ac:dyDescent="0.25">
      <c r="C519" s="144"/>
      <c r="F519" s="35"/>
      <c r="H519" s="35"/>
      <c r="I519" s="35"/>
    </row>
    <row r="520" ht="15.75" customHeight="1" spans="3:9" x14ac:dyDescent="0.25">
      <c r="C520" s="144"/>
      <c r="F520" s="35"/>
      <c r="H520" s="35"/>
      <c r="I520" s="35"/>
    </row>
    <row r="521" ht="15.75" customHeight="1" spans="3:9" x14ac:dyDescent="0.25">
      <c r="C521" s="144"/>
      <c r="F521" s="35"/>
      <c r="H521" s="35"/>
      <c r="I521" s="35"/>
    </row>
    <row r="522" ht="15.75" customHeight="1" spans="3:9" x14ac:dyDescent="0.25">
      <c r="C522" s="144"/>
      <c r="F522" s="35"/>
      <c r="H522" s="35"/>
      <c r="I522" s="35"/>
    </row>
    <row r="523" ht="15.75" customHeight="1" spans="3:9" x14ac:dyDescent="0.25">
      <c r="C523" s="144"/>
      <c r="F523" s="35"/>
      <c r="H523" s="35"/>
      <c r="I523" s="35"/>
    </row>
    <row r="524" ht="15.75" customHeight="1" spans="3:9" x14ac:dyDescent="0.25">
      <c r="C524" s="144"/>
      <c r="F524" s="35"/>
      <c r="H524" s="35"/>
      <c r="I524" s="35"/>
    </row>
    <row r="525" ht="15.75" customHeight="1" spans="3:9" x14ac:dyDescent="0.25">
      <c r="C525" s="144"/>
      <c r="F525" s="35"/>
      <c r="H525" s="35"/>
      <c r="I525" s="35"/>
    </row>
    <row r="526" ht="15.75" customHeight="1" spans="3:9" x14ac:dyDescent="0.25">
      <c r="C526" s="144"/>
      <c r="F526" s="35"/>
      <c r="H526" s="35"/>
      <c r="I526" s="35"/>
    </row>
    <row r="527" ht="15.75" customHeight="1" spans="3:9" x14ac:dyDescent="0.25">
      <c r="C527" s="144"/>
      <c r="F527" s="35"/>
      <c r="H527" s="35"/>
      <c r="I527" s="35"/>
    </row>
    <row r="528" ht="15.75" customHeight="1" spans="3:9" x14ac:dyDescent="0.25">
      <c r="C528" s="144"/>
      <c r="F528" s="35"/>
      <c r="H528" s="35"/>
      <c r="I528" s="35"/>
    </row>
    <row r="529" ht="15.75" customHeight="1" spans="3:9" x14ac:dyDescent="0.25">
      <c r="C529" s="144"/>
      <c r="F529" s="35"/>
      <c r="H529" s="35"/>
      <c r="I529" s="35"/>
    </row>
    <row r="530" ht="15.75" customHeight="1" spans="3:9" x14ac:dyDescent="0.25">
      <c r="C530" s="144"/>
      <c r="F530" s="35"/>
      <c r="H530" s="35"/>
      <c r="I530" s="35"/>
    </row>
    <row r="531" ht="15.75" customHeight="1" spans="3:9" x14ac:dyDescent="0.25">
      <c r="C531" s="144"/>
      <c r="F531" s="35"/>
      <c r="H531" s="35"/>
      <c r="I531" s="35"/>
    </row>
    <row r="532" ht="15.75" customHeight="1" spans="3:9" x14ac:dyDescent="0.25">
      <c r="C532" s="144"/>
      <c r="F532" s="35"/>
      <c r="H532" s="35"/>
      <c r="I532" s="35"/>
    </row>
    <row r="533" ht="15.75" customHeight="1" spans="3:9" x14ac:dyDescent="0.25">
      <c r="C533" s="144"/>
      <c r="F533" s="35"/>
      <c r="H533" s="35"/>
      <c r="I533" s="35"/>
    </row>
    <row r="534" ht="15.75" customHeight="1" spans="3:9" x14ac:dyDescent="0.25">
      <c r="C534" s="144"/>
      <c r="F534" s="35"/>
      <c r="H534" s="35"/>
      <c r="I534" s="35"/>
    </row>
    <row r="535" ht="15.75" customHeight="1" spans="3:9" x14ac:dyDescent="0.25">
      <c r="C535" s="144"/>
      <c r="F535" s="35"/>
      <c r="H535" s="35"/>
      <c r="I535" s="35"/>
    </row>
    <row r="536" ht="15.75" customHeight="1" spans="3:9" x14ac:dyDescent="0.25">
      <c r="C536" s="144"/>
      <c r="F536" s="35"/>
      <c r="H536" s="35"/>
      <c r="I536" s="35"/>
    </row>
    <row r="537" ht="15.75" customHeight="1" spans="3:9" x14ac:dyDescent="0.25">
      <c r="C537" s="144"/>
      <c r="F537" s="35"/>
      <c r="H537" s="35"/>
      <c r="I537" s="35"/>
    </row>
    <row r="538" ht="15.75" customHeight="1" spans="3:9" x14ac:dyDescent="0.25">
      <c r="C538" s="144"/>
      <c r="F538" s="35"/>
      <c r="H538" s="35"/>
      <c r="I538" s="35"/>
    </row>
    <row r="539" ht="15.75" customHeight="1" spans="3:9" x14ac:dyDescent="0.25">
      <c r="C539" s="144"/>
      <c r="F539" s="35"/>
      <c r="H539" s="35"/>
      <c r="I539" s="35"/>
    </row>
    <row r="540" ht="15.75" customHeight="1" spans="3:9" x14ac:dyDescent="0.25">
      <c r="C540" s="144"/>
      <c r="F540" s="35"/>
      <c r="H540" s="35"/>
      <c r="I540" s="35"/>
    </row>
    <row r="541" ht="15.75" customHeight="1" spans="3:9" x14ac:dyDescent="0.25">
      <c r="C541" s="144"/>
      <c r="F541" s="35"/>
      <c r="H541" s="35"/>
      <c r="I541" s="35"/>
    </row>
    <row r="542" ht="15.75" customHeight="1" spans="3:9" x14ac:dyDescent="0.25">
      <c r="C542" s="144"/>
      <c r="F542" s="35"/>
      <c r="H542" s="35"/>
      <c r="I542" s="35"/>
    </row>
    <row r="543" ht="15.75" customHeight="1" spans="3:9" x14ac:dyDescent="0.25">
      <c r="C543" s="144"/>
      <c r="F543" s="35"/>
      <c r="H543" s="35"/>
      <c r="I543" s="35"/>
    </row>
    <row r="544" ht="15.75" customHeight="1" spans="3:9" x14ac:dyDescent="0.25">
      <c r="C544" s="144"/>
      <c r="F544" s="35"/>
      <c r="H544" s="35"/>
      <c r="I544" s="35"/>
    </row>
    <row r="545" ht="15.75" customHeight="1" spans="3:9" x14ac:dyDescent="0.25">
      <c r="C545" s="144"/>
      <c r="F545" s="35"/>
      <c r="H545" s="35"/>
      <c r="I545" s="35"/>
    </row>
    <row r="546" ht="15.75" customHeight="1" spans="3:9" x14ac:dyDescent="0.25">
      <c r="C546" s="144"/>
      <c r="F546" s="35"/>
      <c r="H546" s="35"/>
      <c r="I546" s="35"/>
    </row>
    <row r="547" ht="15.75" customHeight="1" spans="3:9" x14ac:dyDescent="0.25">
      <c r="C547" s="144"/>
      <c r="F547" s="35"/>
      <c r="H547" s="35"/>
      <c r="I547" s="35"/>
    </row>
    <row r="548" ht="15.75" customHeight="1" spans="3:9" x14ac:dyDescent="0.25">
      <c r="C548" s="144"/>
      <c r="F548" s="35"/>
      <c r="H548" s="35"/>
      <c r="I548" s="35"/>
    </row>
    <row r="549" ht="15.75" customHeight="1" spans="3:9" x14ac:dyDescent="0.25">
      <c r="C549" s="144"/>
      <c r="F549" s="35"/>
      <c r="H549" s="35"/>
      <c r="I549" s="35"/>
    </row>
    <row r="550" ht="15.75" customHeight="1" spans="3:9" x14ac:dyDescent="0.25">
      <c r="C550" s="144"/>
      <c r="F550" s="35"/>
      <c r="H550" s="35"/>
      <c r="I550" s="35"/>
    </row>
    <row r="551" ht="15.75" customHeight="1" spans="3:9" x14ac:dyDescent="0.25">
      <c r="C551" s="144"/>
      <c r="F551" s="35"/>
      <c r="H551" s="35"/>
      <c r="I551" s="35"/>
    </row>
    <row r="552" ht="15.75" customHeight="1" spans="3:9" x14ac:dyDescent="0.25">
      <c r="C552" s="144"/>
      <c r="F552" s="35"/>
      <c r="H552" s="35"/>
      <c r="I552" s="35"/>
    </row>
    <row r="553" ht="15.75" customHeight="1" spans="3:9" x14ac:dyDescent="0.25">
      <c r="C553" s="144"/>
      <c r="F553" s="35"/>
      <c r="H553" s="35"/>
      <c r="I553" s="35"/>
    </row>
    <row r="554" ht="15.75" customHeight="1" spans="3:9" x14ac:dyDescent="0.25">
      <c r="C554" s="144"/>
      <c r="F554" s="35"/>
      <c r="H554" s="35"/>
      <c r="I554" s="35"/>
    </row>
    <row r="555" ht="15.75" customHeight="1" spans="3:9" x14ac:dyDescent="0.25">
      <c r="C555" s="144"/>
      <c r="F555" s="35"/>
      <c r="H555" s="35"/>
      <c r="I555" s="35"/>
    </row>
    <row r="556" ht="15.75" customHeight="1" spans="3:9" x14ac:dyDescent="0.25">
      <c r="C556" s="144"/>
      <c r="F556" s="35"/>
      <c r="H556" s="35"/>
      <c r="I556" s="35"/>
    </row>
    <row r="557" ht="15.75" customHeight="1" spans="3:9" x14ac:dyDescent="0.25">
      <c r="C557" s="144"/>
      <c r="F557" s="35"/>
      <c r="H557" s="35"/>
      <c r="I557" s="35"/>
    </row>
    <row r="558" ht="15.75" customHeight="1" spans="3:9" x14ac:dyDescent="0.25">
      <c r="C558" s="144"/>
      <c r="F558" s="35"/>
      <c r="H558" s="35"/>
      <c r="I558" s="35"/>
    </row>
    <row r="559" ht="15.75" customHeight="1" spans="3:9" x14ac:dyDescent="0.25">
      <c r="C559" s="144"/>
      <c r="F559" s="35"/>
      <c r="H559" s="35"/>
      <c r="I559" s="35"/>
    </row>
    <row r="560" ht="15.75" customHeight="1" spans="3:9" x14ac:dyDescent="0.25">
      <c r="C560" s="144"/>
      <c r="F560" s="35"/>
      <c r="H560" s="35"/>
      <c r="I560" s="35"/>
    </row>
    <row r="561" ht="15.75" customHeight="1" spans="3:9" x14ac:dyDescent="0.25">
      <c r="C561" s="144"/>
      <c r="F561" s="35"/>
      <c r="H561" s="35"/>
      <c r="I561" s="35"/>
    </row>
    <row r="562" ht="15.75" customHeight="1" spans="3:9" x14ac:dyDescent="0.25">
      <c r="C562" s="144"/>
      <c r="F562" s="35"/>
      <c r="H562" s="35"/>
      <c r="I562" s="35"/>
    </row>
    <row r="563" ht="15.75" customHeight="1" spans="3:9" x14ac:dyDescent="0.25">
      <c r="C563" s="144"/>
      <c r="F563" s="35"/>
      <c r="H563" s="35"/>
      <c r="I563" s="35"/>
    </row>
    <row r="564" ht="15.75" customHeight="1" spans="3:9" x14ac:dyDescent="0.25">
      <c r="C564" s="144"/>
      <c r="F564" s="35"/>
      <c r="H564" s="35"/>
      <c r="I564" s="35"/>
    </row>
    <row r="565" ht="15.75" customHeight="1" spans="3:9" x14ac:dyDescent="0.25">
      <c r="C565" s="144"/>
      <c r="F565" s="35"/>
      <c r="H565" s="35"/>
      <c r="I565" s="35"/>
    </row>
    <row r="566" ht="15.75" customHeight="1" spans="3:9" x14ac:dyDescent="0.25">
      <c r="C566" s="144"/>
      <c r="F566" s="35"/>
      <c r="H566" s="35"/>
      <c r="I566" s="35"/>
    </row>
    <row r="567" ht="15.75" customHeight="1" spans="3:9" x14ac:dyDescent="0.25">
      <c r="C567" s="144"/>
      <c r="F567" s="35"/>
      <c r="H567" s="35"/>
      <c r="I567" s="35"/>
    </row>
    <row r="568" ht="15.75" customHeight="1" spans="3:9" x14ac:dyDescent="0.25">
      <c r="C568" s="144"/>
      <c r="F568" s="35"/>
      <c r="H568" s="35"/>
      <c r="I568" s="35"/>
    </row>
    <row r="569" ht="15.75" customHeight="1" spans="3:9" x14ac:dyDescent="0.25">
      <c r="C569" s="144"/>
      <c r="F569" s="35"/>
      <c r="H569" s="35"/>
      <c r="I569" s="35"/>
    </row>
    <row r="570" ht="15.75" customHeight="1" spans="3:9" x14ac:dyDescent="0.25">
      <c r="C570" s="144"/>
      <c r="F570" s="35"/>
      <c r="H570" s="35"/>
      <c r="I570" s="35"/>
    </row>
    <row r="571" ht="15.75" customHeight="1" spans="3:9" x14ac:dyDescent="0.25">
      <c r="C571" s="144"/>
      <c r="F571" s="35"/>
      <c r="H571" s="35"/>
      <c r="I571" s="35"/>
    </row>
    <row r="572" ht="15.75" customHeight="1" spans="3:9" x14ac:dyDescent="0.25">
      <c r="C572" s="144"/>
      <c r="F572" s="35"/>
      <c r="H572" s="35"/>
      <c r="I572" s="35"/>
    </row>
    <row r="573" ht="15.75" customHeight="1" spans="3:9" x14ac:dyDescent="0.25">
      <c r="C573" s="144"/>
      <c r="F573" s="35"/>
      <c r="H573" s="35"/>
      <c r="I573" s="35"/>
    </row>
    <row r="574" ht="15.75" customHeight="1" spans="3:9" x14ac:dyDescent="0.25">
      <c r="C574" s="144"/>
      <c r="F574" s="35"/>
      <c r="H574" s="35"/>
      <c r="I574" s="35"/>
    </row>
    <row r="575" ht="15.75" customHeight="1" spans="3:9" x14ac:dyDescent="0.25">
      <c r="C575" s="144"/>
      <c r="F575" s="35"/>
      <c r="H575" s="35"/>
      <c r="I575" s="35"/>
    </row>
    <row r="576" ht="15.75" customHeight="1" spans="3:9" x14ac:dyDescent="0.25">
      <c r="C576" s="144"/>
      <c r="F576" s="35"/>
      <c r="H576" s="35"/>
      <c r="I576" s="35"/>
    </row>
    <row r="577" ht="15.75" customHeight="1" spans="3:9" x14ac:dyDescent="0.25">
      <c r="C577" s="144"/>
      <c r="F577" s="35"/>
      <c r="H577" s="35"/>
      <c r="I577" s="35"/>
    </row>
    <row r="578" ht="15.75" customHeight="1" spans="3:9" x14ac:dyDescent="0.25">
      <c r="C578" s="144"/>
      <c r="F578" s="35"/>
      <c r="H578" s="35"/>
      <c r="I578" s="35"/>
    </row>
    <row r="579" ht="15.75" customHeight="1" spans="3:9" x14ac:dyDescent="0.25">
      <c r="C579" s="144"/>
      <c r="F579" s="35"/>
      <c r="H579" s="35"/>
      <c r="I579" s="35"/>
    </row>
    <row r="580" ht="15.75" customHeight="1" spans="3:9" x14ac:dyDescent="0.25">
      <c r="C580" s="144"/>
      <c r="F580" s="35"/>
      <c r="H580" s="35"/>
      <c r="I580" s="35"/>
    </row>
    <row r="581" ht="15.75" customHeight="1" spans="3:9" x14ac:dyDescent="0.25">
      <c r="C581" s="144"/>
      <c r="F581" s="35"/>
      <c r="H581" s="35"/>
      <c r="I581" s="35"/>
    </row>
    <row r="582" ht="15.75" customHeight="1" spans="3:9" x14ac:dyDescent="0.25">
      <c r="C582" s="144"/>
      <c r="F582" s="35"/>
      <c r="H582" s="35"/>
      <c r="I582" s="35"/>
    </row>
    <row r="583" ht="15.75" customHeight="1" spans="3:9" x14ac:dyDescent="0.25">
      <c r="C583" s="144"/>
      <c r="F583" s="35"/>
      <c r="H583" s="35"/>
      <c r="I583" s="35"/>
    </row>
    <row r="584" ht="15.75" customHeight="1" spans="3:9" x14ac:dyDescent="0.25">
      <c r="C584" s="144"/>
      <c r="F584" s="35"/>
      <c r="H584" s="35"/>
      <c r="I584" s="35"/>
    </row>
    <row r="585" ht="15.75" customHeight="1" spans="3:9" x14ac:dyDescent="0.25">
      <c r="C585" s="144"/>
      <c r="F585" s="35"/>
      <c r="H585" s="35"/>
      <c r="I585" s="35"/>
    </row>
    <row r="586" ht="15.75" customHeight="1" spans="3:9" x14ac:dyDescent="0.25">
      <c r="C586" s="144"/>
      <c r="F586" s="35"/>
      <c r="H586" s="35"/>
      <c r="I586" s="35"/>
    </row>
    <row r="587" ht="15.75" customHeight="1" spans="3:9" x14ac:dyDescent="0.25">
      <c r="C587" s="144"/>
      <c r="F587" s="35"/>
      <c r="H587" s="35"/>
      <c r="I587" s="35"/>
    </row>
    <row r="588" ht="15.75" customHeight="1" spans="3:9" x14ac:dyDescent="0.25">
      <c r="C588" s="144"/>
      <c r="F588" s="35"/>
      <c r="H588" s="35"/>
      <c r="I588" s="35"/>
    </row>
    <row r="589" ht="15.75" customHeight="1" spans="3:9" x14ac:dyDescent="0.25">
      <c r="C589" s="144"/>
      <c r="F589" s="35"/>
      <c r="H589" s="35"/>
      <c r="I589" s="35"/>
    </row>
    <row r="590" ht="15.75" customHeight="1" spans="3:9" x14ac:dyDescent="0.25">
      <c r="C590" s="144"/>
      <c r="F590" s="35"/>
      <c r="H590" s="35"/>
      <c r="I590" s="35"/>
    </row>
    <row r="591" ht="15.75" customHeight="1" spans="3:9" x14ac:dyDescent="0.25">
      <c r="C591" s="144"/>
      <c r="F591" s="35"/>
      <c r="H591" s="35"/>
      <c r="I591" s="35"/>
    </row>
    <row r="592" ht="15.75" customHeight="1" spans="3:9" x14ac:dyDescent="0.25">
      <c r="C592" s="144"/>
      <c r="F592" s="35"/>
      <c r="H592" s="35"/>
      <c r="I592" s="35"/>
    </row>
    <row r="593" ht="15.75" customHeight="1" spans="3:9" x14ac:dyDescent="0.25">
      <c r="C593" s="144"/>
      <c r="F593" s="35"/>
      <c r="H593" s="35"/>
      <c r="I593" s="35"/>
    </row>
    <row r="594" ht="15.75" customHeight="1" spans="3:9" x14ac:dyDescent="0.25">
      <c r="C594" s="144"/>
      <c r="F594" s="35"/>
      <c r="H594" s="35"/>
      <c r="I594" s="35"/>
    </row>
    <row r="595" ht="15.75" customHeight="1" spans="3:9" x14ac:dyDescent="0.25">
      <c r="C595" s="144"/>
      <c r="F595" s="35"/>
      <c r="H595" s="35"/>
      <c r="I595" s="35"/>
    </row>
    <row r="596" ht="15.75" customHeight="1" spans="3:9" x14ac:dyDescent="0.25">
      <c r="C596" s="144"/>
      <c r="F596" s="35"/>
      <c r="H596" s="35"/>
      <c r="I596" s="35"/>
    </row>
    <row r="597" ht="15.75" customHeight="1" spans="3:9" x14ac:dyDescent="0.25">
      <c r="C597" s="144"/>
      <c r="F597" s="35"/>
      <c r="H597" s="35"/>
      <c r="I597" s="35"/>
    </row>
    <row r="598" ht="15.75" customHeight="1" spans="3:9" x14ac:dyDescent="0.25">
      <c r="C598" s="144"/>
      <c r="F598" s="35"/>
      <c r="H598" s="35"/>
      <c r="I598" s="35"/>
    </row>
    <row r="599" ht="15.75" customHeight="1" spans="3:9" x14ac:dyDescent="0.25">
      <c r="C599" s="144"/>
      <c r="F599" s="35"/>
      <c r="H599" s="35"/>
      <c r="I599" s="35"/>
    </row>
    <row r="600" ht="15.75" customHeight="1" spans="3:9" x14ac:dyDescent="0.25">
      <c r="C600" s="144"/>
      <c r="F600" s="35"/>
      <c r="H600" s="35"/>
      <c r="I600" s="35"/>
    </row>
    <row r="601" ht="15.75" customHeight="1" spans="3:9" x14ac:dyDescent="0.25">
      <c r="C601" s="144"/>
      <c r="F601" s="35"/>
      <c r="H601" s="35"/>
      <c r="I601" s="35"/>
    </row>
    <row r="602" ht="15.75" customHeight="1" spans="3:9" x14ac:dyDescent="0.25">
      <c r="C602" s="144"/>
      <c r="F602" s="35"/>
      <c r="H602" s="35"/>
      <c r="I602" s="35"/>
    </row>
    <row r="603" ht="15.75" customHeight="1" spans="3:9" x14ac:dyDescent="0.25">
      <c r="C603" s="144"/>
      <c r="F603" s="35"/>
      <c r="H603" s="35"/>
      <c r="I603" s="35"/>
    </row>
    <row r="604" ht="15.75" customHeight="1" spans="3:9" x14ac:dyDescent="0.25">
      <c r="C604" s="144"/>
      <c r="F604" s="35"/>
      <c r="H604" s="35"/>
      <c r="I604" s="35"/>
    </row>
    <row r="605" ht="15.75" customHeight="1" spans="3:9" x14ac:dyDescent="0.25">
      <c r="C605" s="144"/>
      <c r="F605" s="35"/>
      <c r="H605" s="35"/>
      <c r="I605" s="35"/>
    </row>
    <row r="606" ht="15.75" customHeight="1" spans="3:9" x14ac:dyDescent="0.25">
      <c r="C606" s="144"/>
      <c r="F606" s="35"/>
      <c r="H606" s="35"/>
      <c r="I606" s="35"/>
    </row>
    <row r="607" ht="15.75" customHeight="1" spans="3:9" x14ac:dyDescent="0.25">
      <c r="C607" s="144"/>
      <c r="F607" s="35"/>
      <c r="H607" s="35"/>
      <c r="I607" s="35"/>
    </row>
    <row r="608" ht="15.75" customHeight="1" spans="3:9" x14ac:dyDescent="0.25">
      <c r="C608" s="144"/>
      <c r="F608" s="35"/>
      <c r="H608" s="35"/>
      <c r="I608" s="35"/>
    </row>
    <row r="609" ht="15.75" customHeight="1" spans="3:9" x14ac:dyDescent="0.25">
      <c r="C609" s="144"/>
      <c r="F609" s="35"/>
      <c r="H609" s="35"/>
      <c r="I609" s="35"/>
    </row>
    <row r="610" ht="15.75" customHeight="1" spans="3:9" x14ac:dyDescent="0.25">
      <c r="C610" s="144"/>
      <c r="F610" s="35"/>
      <c r="H610" s="35"/>
      <c r="I610" s="35"/>
    </row>
    <row r="611" ht="15.75" customHeight="1" spans="3:9" x14ac:dyDescent="0.25">
      <c r="C611" s="144"/>
      <c r="F611" s="35"/>
      <c r="H611" s="35"/>
      <c r="I611" s="35"/>
    </row>
    <row r="612" ht="15.75" customHeight="1" spans="3:9" x14ac:dyDescent="0.25">
      <c r="C612" s="144"/>
      <c r="F612" s="35"/>
      <c r="H612" s="35"/>
      <c r="I612" s="35"/>
    </row>
    <row r="613" ht="15.75" customHeight="1" spans="3:9" x14ac:dyDescent="0.25">
      <c r="C613" s="144"/>
      <c r="F613" s="35"/>
      <c r="H613" s="35"/>
      <c r="I613" s="35"/>
    </row>
    <row r="614" ht="15.75" customHeight="1" spans="3:9" x14ac:dyDescent="0.25">
      <c r="C614" s="144"/>
      <c r="F614" s="35"/>
      <c r="H614" s="35"/>
      <c r="I614" s="35"/>
    </row>
    <row r="615" ht="15.75" customHeight="1" spans="3:9" x14ac:dyDescent="0.25">
      <c r="C615" s="144"/>
      <c r="F615" s="35"/>
      <c r="H615" s="35"/>
      <c r="I615" s="35"/>
    </row>
    <row r="616" ht="15.75" customHeight="1" spans="3:9" x14ac:dyDescent="0.25">
      <c r="C616" s="144"/>
      <c r="F616" s="35"/>
      <c r="H616" s="35"/>
      <c r="I616" s="35"/>
    </row>
    <row r="617" ht="15.75" customHeight="1" spans="3:9" x14ac:dyDescent="0.25">
      <c r="C617" s="144"/>
      <c r="F617" s="35"/>
      <c r="H617" s="35"/>
      <c r="I617" s="35"/>
    </row>
    <row r="618" ht="15.75" customHeight="1" spans="3:9" x14ac:dyDescent="0.25">
      <c r="C618" s="144"/>
      <c r="F618" s="35"/>
      <c r="H618" s="35"/>
      <c r="I618" s="35"/>
    </row>
    <row r="619" ht="15.75" customHeight="1" spans="3:9" x14ac:dyDescent="0.25">
      <c r="C619" s="144"/>
      <c r="F619" s="35"/>
      <c r="H619" s="35"/>
      <c r="I619" s="35"/>
    </row>
    <row r="620" ht="15.75" customHeight="1" spans="3:9" x14ac:dyDescent="0.25">
      <c r="C620" s="144"/>
      <c r="F620" s="35"/>
      <c r="H620" s="35"/>
      <c r="I620" s="35"/>
    </row>
    <row r="621" ht="15.75" customHeight="1" spans="3:9" x14ac:dyDescent="0.25">
      <c r="C621" s="144"/>
      <c r="F621" s="35"/>
      <c r="H621" s="35"/>
      <c r="I621" s="35"/>
    </row>
    <row r="622" ht="15.75" customHeight="1" spans="3:9" x14ac:dyDescent="0.25">
      <c r="C622" s="144"/>
      <c r="F622" s="35"/>
      <c r="H622" s="35"/>
      <c r="I622" s="35"/>
    </row>
    <row r="623" ht="15.75" customHeight="1" spans="3:9" x14ac:dyDescent="0.25">
      <c r="C623" s="144"/>
      <c r="F623" s="35"/>
      <c r="H623" s="35"/>
      <c r="I623" s="35"/>
    </row>
    <row r="624" ht="15.75" customHeight="1" spans="3:9" x14ac:dyDescent="0.25">
      <c r="C624" s="144"/>
      <c r="F624" s="35"/>
      <c r="H624" s="35"/>
      <c r="I624" s="35"/>
    </row>
    <row r="625" ht="15.75" customHeight="1" spans="3:9" x14ac:dyDescent="0.25">
      <c r="C625" s="144"/>
      <c r="F625" s="35"/>
      <c r="H625" s="35"/>
      <c r="I625" s="35"/>
    </row>
    <row r="626" ht="15.75" customHeight="1" spans="3:9" x14ac:dyDescent="0.25">
      <c r="C626" s="144"/>
      <c r="F626" s="35"/>
      <c r="H626" s="35"/>
      <c r="I626" s="35"/>
    </row>
    <row r="627" ht="15.75" customHeight="1" spans="3:9" x14ac:dyDescent="0.25">
      <c r="C627" s="144"/>
      <c r="F627" s="35"/>
      <c r="H627" s="35"/>
      <c r="I627" s="35"/>
    </row>
    <row r="628" ht="15.75" customHeight="1" spans="3:9" x14ac:dyDescent="0.25">
      <c r="C628" s="144"/>
      <c r="F628" s="35"/>
      <c r="H628" s="35"/>
      <c r="I628" s="35"/>
    </row>
    <row r="629" ht="15.75" customHeight="1" spans="3:9" x14ac:dyDescent="0.25">
      <c r="C629" s="144"/>
      <c r="F629" s="35"/>
      <c r="H629" s="35"/>
      <c r="I629" s="35"/>
    </row>
    <row r="630" ht="15.75" customHeight="1" spans="3:9" x14ac:dyDescent="0.25">
      <c r="C630" s="144"/>
      <c r="F630" s="35"/>
      <c r="H630" s="35"/>
      <c r="I630" s="35"/>
    </row>
    <row r="631" ht="15.75" customHeight="1" spans="3:9" x14ac:dyDescent="0.25">
      <c r="C631" s="144"/>
      <c r="F631" s="35"/>
      <c r="H631" s="35"/>
      <c r="I631" s="35"/>
    </row>
    <row r="632" ht="15.75" customHeight="1" spans="3:9" x14ac:dyDescent="0.25">
      <c r="C632" s="144"/>
      <c r="F632" s="35"/>
      <c r="H632" s="35"/>
      <c r="I632" s="35"/>
    </row>
    <row r="633" ht="15.75" customHeight="1" spans="3:9" x14ac:dyDescent="0.25">
      <c r="C633" s="144"/>
      <c r="F633" s="35"/>
      <c r="H633" s="35"/>
      <c r="I633" s="35"/>
    </row>
    <row r="634" ht="15.75" customHeight="1" spans="3:9" x14ac:dyDescent="0.25">
      <c r="C634" s="144"/>
      <c r="F634" s="35"/>
      <c r="H634" s="35"/>
      <c r="I634" s="35"/>
    </row>
    <row r="635" ht="15.75" customHeight="1" spans="3:9" x14ac:dyDescent="0.25">
      <c r="C635" s="144"/>
      <c r="F635" s="35"/>
      <c r="H635" s="35"/>
      <c r="I635" s="35"/>
    </row>
    <row r="636" ht="15.75" customHeight="1" spans="3:9" x14ac:dyDescent="0.25">
      <c r="C636" s="144"/>
      <c r="F636" s="35"/>
      <c r="H636" s="35"/>
      <c r="I636" s="35"/>
    </row>
    <row r="637" ht="15.75" customHeight="1" spans="3:9" x14ac:dyDescent="0.25">
      <c r="C637" s="144"/>
      <c r="F637" s="35"/>
      <c r="H637" s="35"/>
      <c r="I637" s="35"/>
    </row>
    <row r="638" ht="15.75" customHeight="1" spans="3:9" x14ac:dyDescent="0.25">
      <c r="C638" s="144"/>
      <c r="F638" s="35"/>
      <c r="H638" s="35"/>
      <c r="I638" s="35"/>
    </row>
    <row r="639" ht="15.75" customHeight="1" spans="3:9" x14ac:dyDescent="0.25">
      <c r="C639" s="144"/>
      <c r="F639" s="35"/>
      <c r="H639" s="35"/>
      <c r="I639" s="35"/>
    </row>
    <row r="640" ht="15.75" customHeight="1" spans="3:9" x14ac:dyDescent="0.25">
      <c r="C640" s="144"/>
      <c r="F640" s="35"/>
      <c r="H640" s="35"/>
      <c r="I640" s="35"/>
    </row>
    <row r="641" ht="15.75" customHeight="1" spans="3:9" x14ac:dyDescent="0.25">
      <c r="C641" s="144"/>
      <c r="F641" s="35"/>
      <c r="H641" s="35"/>
      <c r="I641" s="35"/>
    </row>
    <row r="642" ht="15.75" customHeight="1" spans="3:9" x14ac:dyDescent="0.25">
      <c r="C642" s="144"/>
      <c r="F642" s="35"/>
      <c r="H642" s="35"/>
      <c r="I642" s="35"/>
    </row>
    <row r="643" ht="15.75" customHeight="1" spans="3:9" x14ac:dyDescent="0.25">
      <c r="C643" s="144"/>
      <c r="F643" s="35"/>
      <c r="H643" s="35"/>
      <c r="I643" s="35"/>
    </row>
    <row r="644" ht="15.75" customHeight="1" spans="3:9" x14ac:dyDescent="0.25">
      <c r="C644" s="144"/>
      <c r="F644" s="35"/>
      <c r="H644" s="35"/>
      <c r="I644" s="35"/>
    </row>
    <row r="645" ht="15.75" customHeight="1" spans="3:9" x14ac:dyDescent="0.25">
      <c r="C645" s="144"/>
      <c r="F645" s="35"/>
      <c r="H645" s="35"/>
      <c r="I645" s="35"/>
    </row>
    <row r="646" ht="15.75" customHeight="1" spans="3:9" x14ac:dyDescent="0.25">
      <c r="C646" s="144"/>
      <c r="F646" s="35"/>
      <c r="H646" s="35"/>
      <c r="I646" s="35"/>
    </row>
    <row r="647" ht="15.75" customHeight="1" spans="3:9" x14ac:dyDescent="0.25">
      <c r="C647" s="144"/>
      <c r="F647" s="35"/>
      <c r="H647" s="35"/>
      <c r="I647" s="35"/>
    </row>
    <row r="648" ht="15.75" customHeight="1" spans="3:9" x14ac:dyDescent="0.25">
      <c r="C648" s="144"/>
      <c r="F648" s="35"/>
      <c r="H648" s="35"/>
      <c r="I648" s="35"/>
    </row>
    <row r="649" ht="15.75" customHeight="1" spans="3:9" x14ac:dyDescent="0.25">
      <c r="C649" s="144"/>
      <c r="F649" s="35"/>
      <c r="H649" s="35"/>
      <c r="I649" s="35"/>
    </row>
    <row r="650" ht="15.75" customHeight="1" spans="3:9" x14ac:dyDescent="0.25">
      <c r="C650" s="144"/>
      <c r="F650" s="35"/>
      <c r="H650" s="35"/>
      <c r="I650" s="35"/>
    </row>
    <row r="651" ht="15.75" customHeight="1" spans="3:9" x14ac:dyDescent="0.25">
      <c r="C651" s="144"/>
      <c r="F651" s="35"/>
      <c r="H651" s="35"/>
      <c r="I651" s="35"/>
    </row>
    <row r="652" ht="15.75" customHeight="1" spans="3:9" x14ac:dyDescent="0.25">
      <c r="C652" s="144"/>
      <c r="F652" s="35"/>
      <c r="H652" s="35"/>
      <c r="I652" s="35"/>
    </row>
    <row r="653" ht="15.75" customHeight="1" spans="3:9" x14ac:dyDescent="0.25">
      <c r="C653" s="144"/>
      <c r="F653" s="35"/>
      <c r="H653" s="35"/>
      <c r="I653" s="35"/>
    </row>
    <row r="654" ht="15.75" customHeight="1" spans="3:9" x14ac:dyDescent="0.25">
      <c r="C654" s="144"/>
      <c r="F654" s="35"/>
      <c r="H654" s="35"/>
      <c r="I654" s="35"/>
    </row>
    <row r="655" ht="15.75" customHeight="1" spans="3:9" x14ac:dyDescent="0.25">
      <c r="C655" s="144"/>
      <c r="F655" s="35"/>
      <c r="H655" s="35"/>
      <c r="I655" s="35"/>
    </row>
    <row r="656" ht="15.75" customHeight="1" spans="3:9" x14ac:dyDescent="0.25">
      <c r="C656" s="144"/>
      <c r="F656" s="35"/>
      <c r="H656" s="35"/>
      <c r="I656" s="35"/>
    </row>
    <row r="657" ht="15.75" customHeight="1" spans="3:9" x14ac:dyDescent="0.25">
      <c r="C657" s="144"/>
      <c r="F657" s="35"/>
      <c r="H657" s="35"/>
      <c r="I657" s="35"/>
    </row>
    <row r="658" ht="15.75" customHeight="1" spans="3:9" x14ac:dyDescent="0.25">
      <c r="C658" s="144"/>
      <c r="F658" s="35"/>
      <c r="H658" s="35"/>
      <c r="I658" s="35"/>
    </row>
    <row r="659" ht="15.75" customHeight="1" spans="3:9" x14ac:dyDescent="0.25">
      <c r="C659" s="144"/>
      <c r="F659" s="35"/>
      <c r="H659" s="35"/>
      <c r="I659" s="35"/>
    </row>
    <row r="660" ht="15.75" customHeight="1" spans="3:9" x14ac:dyDescent="0.25">
      <c r="C660" s="144"/>
      <c r="F660" s="35"/>
      <c r="H660" s="35"/>
      <c r="I660" s="35"/>
    </row>
    <row r="661" ht="15.75" customHeight="1" spans="3:9" x14ac:dyDescent="0.25">
      <c r="C661" s="144"/>
      <c r="F661" s="35"/>
      <c r="H661" s="35"/>
      <c r="I661" s="35"/>
    </row>
    <row r="662" ht="15.75" customHeight="1" spans="3:9" x14ac:dyDescent="0.25">
      <c r="C662" s="144"/>
      <c r="F662" s="35"/>
      <c r="H662" s="35"/>
      <c r="I662" s="35"/>
    </row>
    <row r="663" ht="15.75" customHeight="1" spans="3:9" x14ac:dyDescent="0.25">
      <c r="C663" s="144"/>
      <c r="F663" s="35"/>
      <c r="H663" s="35"/>
      <c r="I663" s="35"/>
    </row>
    <row r="664" ht="15.75" customHeight="1" spans="3:9" x14ac:dyDescent="0.25">
      <c r="C664" s="144"/>
      <c r="F664" s="35"/>
      <c r="H664" s="35"/>
      <c r="I664" s="35"/>
    </row>
    <row r="665" ht="15.75" customHeight="1" spans="3:9" x14ac:dyDescent="0.25">
      <c r="C665" s="144"/>
      <c r="F665" s="35"/>
      <c r="H665" s="35"/>
      <c r="I665" s="35"/>
    </row>
    <row r="666" ht="15.75" customHeight="1" spans="3:9" x14ac:dyDescent="0.25">
      <c r="C666" s="144"/>
      <c r="F666" s="35"/>
      <c r="H666" s="35"/>
      <c r="I666" s="35"/>
    </row>
    <row r="667" ht="15.75" customHeight="1" spans="3:9" x14ac:dyDescent="0.25">
      <c r="C667" s="144"/>
      <c r="F667" s="35"/>
      <c r="H667" s="35"/>
      <c r="I667" s="35"/>
    </row>
    <row r="668" ht="15.75" customHeight="1" spans="3:9" x14ac:dyDescent="0.25">
      <c r="C668" s="144"/>
      <c r="F668" s="35"/>
      <c r="H668" s="35"/>
      <c r="I668" s="35"/>
    </row>
    <row r="669" ht="15.75" customHeight="1" spans="3:9" x14ac:dyDescent="0.25">
      <c r="C669" s="144"/>
      <c r="F669" s="35"/>
      <c r="H669" s="35"/>
      <c r="I669" s="35"/>
    </row>
    <row r="670" ht="15.75" customHeight="1" spans="3:9" x14ac:dyDescent="0.25">
      <c r="C670" s="144"/>
      <c r="F670" s="35"/>
      <c r="H670" s="35"/>
      <c r="I670" s="35"/>
    </row>
    <row r="671" ht="15.75" customHeight="1" spans="3:9" x14ac:dyDescent="0.25">
      <c r="C671" s="144"/>
      <c r="F671" s="35"/>
      <c r="H671" s="35"/>
      <c r="I671" s="35"/>
    </row>
    <row r="672" ht="15.75" customHeight="1" spans="3:9" x14ac:dyDescent="0.25">
      <c r="C672" s="144"/>
      <c r="F672" s="35"/>
      <c r="H672" s="35"/>
      <c r="I672" s="35"/>
    </row>
    <row r="673" ht="15.75" customHeight="1" spans="3:9" x14ac:dyDescent="0.25">
      <c r="C673" s="144"/>
      <c r="F673" s="35"/>
      <c r="H673" s="35"/>
      <c r="I673" s="35"/>
    </row>
    <row r="674" ht="15.75" customHeight="1" spans="3:9" x14ac:dyDescent="0.25">
      <c r="C674" s="144"/>
      <c r="F674" s="35"/>
      <c r="H674" s="35"/>
      <c r="I674" s="35"/>
    </row>
    <row r="675" ht="15.75" customHeight="1" spans="3:9" x14ac:dyDescent="0.25">
      <c r="C675" s="144"/>
      <c r="F675" s="35"/>
      <c r="H675" s="35"/>
      <c r="I675" s="35"/>
    </row>
    <row r="676" ht="15.75" customHeight="1" spans="3:9" x14ac:dyDescent="0.25">
      <c r="C676" s="144"/>
      <c r="F676" s="35"/>
      <c r="H676" s="35"/>
      <c r="I676" s="35"/>
    </row>
    <row r="677" ht="15.75" customHeight="1" spans="3:9" x14ac:dyDescent="0.25">
      <c r="C677" s="144"/>
      <c r="F677" s="35"/>
      <c r="H677" s="35"/>
      <c r="I677" s="35"/>
    </row>
    <row r="678" ht="15.75" customHeight="1" spans="3:9" x14ac:dyDescent="0.25">
      <c r="C678" s="144"/>
      <c r="F678" s="35"/>
      <c r="H678" s="35"/>
      <c r="I678" s="35"/>
    </row>
    <row r="679" ht="15.75" customHeight="1" spans="3:9" x14ac:dyDescent="0.25">
      <c r="C679" s="144"/>
      <c r="F679" s="35"/>
      <c r="H679" s="35"/>
      <c r="I679" s="35"/>
    </row>
    <row r="680" ht="15.75" customHeight="1" spans="3:9" x14ac:dyDescent="0.25">
      <c r="C680" s="144"/>
      <c r="F680" s="35"/>
      <c r="H680" s="35"/>
      <c r="I680" s="35"/>
    </row>
    <row r="681" ht="15.75" customHeight="1" spans="3:9" x14ac:dyDescent="0.25">
      <c r="C681" s="144"/>
      <c r="F681" s="35"/>
      <c r="H681" s="35"/>
      <c r="I681" s="35"/>
    </row>
    <row r="682" ht="15.75" customHeight="1" spans="3:9" x14ac:dyDescent="0.25">
      <c r="C682" s="144"/>
      <c r="F682" s="35"/>
      <c r="H682" s="35"/>
      <c r="I682" s="35"/>
    </row>
    <row r="683" ht="15.75" customHeight="1" spans="3:9" x14ac:dyDescent="0.25">
      <c r="C683" s="144"/>
      <c r="F683" s="35"/>
      <c r="H683" s="35"/>
      <c r="I683" s="35"/>
    </row>
    <row r="684" ht="15.75" customHeight="1" spans="3:9" x14ac:dyDescent="0.25">
      <c r="C684" s="144"/>
      <c r="F684" s="35"/>
      <c r="H684" s="35"/>
      <c r="I684" s="35"/>
    </row>
    <row r="685" ht="15.75" customHeight="1" spans="3:9" x14ac:dyDescent="0.25">
      <c r="C685" s="144"/>
      <c r="F685" s="35"/>
      <c r="H685" s="35"/>
      <c r="I685" s="35"/>
    </row>
    <row r="686" ht="15.75" customHeight="1" spans="3:9" x14ac:dyDescent="0.25">
      <c r="C686" s="144"/>
      <c r="F686" s="35"/>
      <c r="H686" s="35"/>
      <c r="I686" s="35"/>
    </row>
    <row r="687" ht="15.75" customHeight="1" spans="3:9" x14ac:dyDescent="0.25">
      <c r="C687" s="144"/>
      <c r="F687" s="35"/>
      <c r="H687" s="35"/>
      <c r="I687" s="35"/>
    </row>
    <row r="688" ht="15.75" customHeight="1" spans="3:9" x14ac:dyDescent="0.25">
      <c r="C688" s="144"/>
      <c r="F688" s="35"/>
      <c r="H688" s="35"/>
      <c r="I688" s="35"/>
    </row>
    <row r="689" ht="15.75" customHeight="1" spans="3:9" x14ac:dyDescent="0.25">
      <c r="C689" s="144"/>
      <c r="F689" s="35"/>
      <c r="H689" s="35"/>
      <c r="I689" s="35"/>
    </row>
    <row r="690" ht="15.75" customHeight="1" spans="3:9" x14ac:dyDescent="0.25">
      <c r="C690" s="144"/>
      <c r="F690" s="35"/>
      <c r="H690" s="35"/>
      <c r="I690" s="35"/>
    </row>
    <row r="691" ht="15.75" customHeight="1" spans="3:9" x14ac:dyDescent="0.25">
      <c r="C691" s="144"/>
      <c r="F691" s="35"/>
      <c r="H691" s="35"/>
      <c r="I691" s="35"/>
    </row>
    <row r="692" ht="15.75" customHeight="1" spans="3:9" x14ac:dyDescent="0.25">
      <c r="C692" s="144"/>
      <c r="F692" s="35"/>
      <c r="H692" s="35"/>
      <c r="I692" s="35"/>
    </row>
    <row r="693" ht="15.75" customHeight="1" spans="3:9" x14ac:dyDescent="0.25">
      <c r="C693" s="144"/>
      <c r="F693" s="35"/>
      <c r="H693" s="35"/>
      <c r="I693" s="35"/>
    </row>
    <row r="694" ht="15.75" customHeight="1" spans="3:9" x14ac:dyDescent="0.25">
      <c r="C694" s="144"/>
      <c r="F694" s="35"/>
      <c r="H694" s="35"/>
      <c r="I694" s="35"/>
    </row>
    <row r="695" ht="15.75" customHeight="1" spans="3:9" x14ac:dyDescent="0.25">
      <c r="C695" s="144"/>
      <c r="F695" s="35"/>
      <c r="H695" s="35"/>
      <c r="I695" s="35"/>
    </row>
    <row r="696" ht="15.75" customHeight="1" spans="3:9" x14ac:dyDescent="0.25">
      <c r="C696" s="144"/>
      <c r="F696" s="35"/>
      <c r="H696" s="35"/>
      <c r="I696" s="35"/>
    </row>
    <row r="697" ht="15.75" customHeight="1" spans="3:9" x14ac:dyDescent="0.25">
      <c r="C697" s="144"/>
      <c r="F697" s="35"/>
      <c r="H697" s="35"/>
      <c r="I697" s="35"/>
    </row>
    <row r="698" ht="15.75" customHeight="1" spans="3:9" x14ac:dyDescent="0.25">
      <c r="C698" s="144"/>
      <c r="F698" s="35"/>
      <c r="H698" s="35"/>
      <c r="I698" s="35"/>
    </row>
    <row r="699" ht="15.75" customHeight="1" spans="3:9" x14ac:dyDescent="0.25">
      <c r="C699" s="144"/>
      <c r="F699" s="35"/>
      <c r="H699" s="35"/>
      <c r="I699" s="35"/>
    </row>
    <row r="700" ht="15.75" customHeight="1" spans="3:9" x14ac:dyDescent="0.25">
      <c r="C700" s="144"/>
      <c r="F700" s="35"/>
      <c r="H700" s="35"/>
      <c r="I700" s="35"/>
    </row>
    <row r="701" ht="15.75" customHeight="1" spans="3:9" x14ac:dyDescent="0.25">
      <c r="C701" s="144"/>
      <c r="F701" s="35"/>
      <c r="H701" s="35"/>
      <c r="I701" s="35"/>
    </row>
    <row r="702" ht="15.75" customHeight="1" spans="3:9" x14ac:dyDescent="0.25">
      <c r="C702" s="144"/>
      <c r="F702" s="35"/>
      <c r="H702" s="35"/>
      <c r="I702" s="35"/>
    </row>
    <row r="703" ht="15.75" customHeight="1" spans="3:9" x14ac:dyDescent="0.25">
      <c r="C703" s="144"/>
      <c r="F703" s="35"/>
      <c r="H703" s="35"/>
      <c r="I703" s="35"/>
    </row>
    <row r="704" ht="15.75" customHeight="1" spans="3:9" x14ac:dyDescent="0.25">
      <c r="C704" s="144"/>
      <c r="F704" s="35"/>
      <c r="H704" s="35"/>
      <c r="I704" s="35"/>
    </row>
    <row r="705" ht="15.75" customHeight="1" spans="3:9" x14ac:dyDescent="0.25">
      <c r="C705" s="144"/>
      <c r="F705" s="35"/>
      <c r="H705" s="35"/>
      <c r="I705" s="35"/>
    </row>
    <row r="706" ht="15.75" customHeight="1" spans="3:9" x14ac:dyDescent="0.25">
      <c r="C706" s="144"/>
      <c r="F706" s="35"/>
      <c r="H706" s="35"/>
      <c r="I706" s="35"/>
    </row>
    <row r="707" ht="15.75" customHeight="1" spans="3:9" x14ac:dyDescent="0.25">
      <c r="C707" s="144"/>
      <c r="F707" s="35"/>
      <c r="H707" s="35"/>
      <c r="I707" s="35"/>
    </row>
    <row r="708" ht="15.75" customHeight="1" spans="3:9" x14ac:dyDescent="0.25">
      <c r="C708" s="144"/>
      <c r="F708" s="35"/>
      <c r="H708" s="35"/>
      <c r="I708" s="35"/>
    </row>
    <row r="709" ht="15.75" customHeight="1" spans="3:9" x14ac:dyDescent="0.25">
      <c r="C709" s="144"/>
      <c r="F709" s="35"/>
      <c r="H709" s="35"/>
      <c r="I709" s="35"/>
    </row>
    <row r="710" ht="15.75" customHeight="1" spans="3:9" x14ac:dyDescent="0.25">
      <c r="C710" s="144"/>
      <c r="F710" s="35"/>
      <c r="H710" s="35"/>
      <c r="I710" s="35"/>
    </row>
    <row r="711" ht="15.75" customHeight="1" spans="3:9" x14ac:dyDescent="0.25">
      <c r="C711" s="144"/>
      <c r="F711" s="35"/>
      <c r="H711" s="35"/>
      <c r="I711" s="35"/>
    </row>
    <row r="712" ht="15.75" customHeight="1" spans="3:9" x14ac:dyDescent="0.25">
      <c r="C712" s="144"/>
      <c r="F712" s="35"/>
      <c r="H712" s="35"/>
      <c r="I712" s="35"/>
    </row>
    <row r="713" ht="15.75" customHeight="1" spans="3:9" x14ac:dyDescent="0.25">
      <c r="C713" s="144"/>
      <c r="F713" s="35"/>
      <c r="H713" s="35"/>
      <c r="I713" s="35"/>
    </row>
    <row r="714" ht="15.75" customHeight="1" spans="3:9" x14ac:dyDescent="0.25">
      <c r="C714" s="144"/>
      <c r="F714" s="35"/>
      <c r="H714" s="35"/>
      <c r="I714" s="35"/>
    </row>
    <row r="715" ht="15.75" customHeight="1" spans="3:9" x14ac:dyDescent="0.25">
      <c r="C715" s="144"/>
      <c r="F715" s="35"/>
      <c r="H715" s="35"/>
      <c r="I715" s="35"/>
    </row>
    <row r="716" ht="15.75" customHeight="1" spans="3:9" x14ac:dyDescent="0.25">
      <c r="C716" s="144"/>
      <c r="F716" s="35"/>
      <c r="H716" s="35"/>
      <c r="I716" s="35"/>
    </row>
    <row r="717" ht="15.75" customHeight="1" spans="3:9" x14ac:dyDescent="0.25">
      <c r="C717" s="144"/>
      <c r="F717" s="35"/>
      <c r="H717" s="35"/>
      <c r="I717" s="35"/>
    </row>
    <row r="718" ht="15.75" customHeight="1" spans="3:9" x14ac:dyDescent="0.25">
      <c r="C718" s="144"/>
      <c r="F718" s="35"/>
      <c r="H718" s="35"/>
      <c r="I718" s="35"/>
    </row>
    <row r="719" ht="15.75" customHeight="1" spans="3:9" x14ac:dyDescent="0.25">
      <c r="C719" s="144"/>
      <c r="F719" s="35"/>
      <c r="H719" s="35"/>
      <c r="I719" s="35"/>
    </row>
    <row r="720" ht="15.75" customHeight="1" spans="3:9" x14ac:dyDescent="0.25">
      <c r="C720" s="144"/>
      <c r="F720" s="35"/>
      <c r="H720" s="35"/>
      <c r="I720" s="35"/>
    </row>
    <row r="721" ht="15.75" customHeight="1" spans="3:9" x14ac:dyDescent="0.25">
      <c r="C721" s="144"/>
      <c r="F721" s="35"/>
      <c r="H721" s="35"/>
      <c r="I721" s="35"/>
    </row>
    <row r="722" ht="15.75" customHeight="1" spans="3:9" x14ac:dyDescent="0.25">
      <c r="C722" s="144"/>
      <c r="F722" s="35"/>
      <c r="H722" s="35"/>
      <c r="I722" s="35"/>
    </row>
    <row r="723" ht="15.75" customHeight="1" spans="3:9" x14ac:dyDescent="0.25">
      <c r="C723" s="144"/>
      <c r="F723" s="35"/>
      <c r="H723" s="35"/>
      <c r="I723" s="35"/>
    </row>
    <row r="724" ht="15.75" customHeight="1" spans="3:9" x14ac:dyDescent="0.25">
      <c r="C724" s="144"/>
      <c r="F724" s="35"/>
      <c r="H724" s="35"/>
      <c r="I724" s="35"/>
    </row>
    <row r="725" ht="15.75" customHeight="1" spans="3:9" x14ac:dyDescent="0.25">
      <c r="C725" s="144"/>
      <c r="F725" s="35"/>
      <c r="H725" s="35"/>
      <c r="I725" s="35"/>
    </row>
    <row r="726" ht="15.75" customHeight="1" spans="3:9" x14ac:dyDescent="0.25">
      <c r="C726" s="144"/>
      <c r="F726" s="35"/>
      <c r="H726" s="35"/>
      <c r="I726" s="35"/>
    </row>
    <row r="727" ht="15.75" customHeight="1" spans="3:9" x14ac:dyDescent="0.25">
      <c r="C727" s="144"/>
      <c r="F727" s="35"/>
      <c r="H727" s="35"/>
      <c r="I727" s="35"/>
    </row>
    <row r="728" ht="15.75" customHeight="1" spans="3:9" x14ac:dyDescent="0.25">
      <c r="C728" s="144"/>
      <c r="F728" s="35"/>
      <c r="H728" s="35"/>
      <c r="I728" s="35"/>
    </row>
    <row r="729" ht="15.75" customHeight="1" spans="3:9" x14ac:dyDescent="0.25">
      <c r="C729" s="144"/>
      <c r="F729" s="35"/>
      <c r="H729" s="35"/>
      <c r="I729" s="35"/>
    </row>
    <row r="730" ht="15.75" customHeight="1" spans="3:9" x14ac:dyDescent="0.25">
      <c r="C730" s="144"/>
      <c r="F730" s="35"/>
      <c r="H730" s="35"/>
      <c r="I730" s="35"/>
    </row>
    <row r="731" ht="15.75" customHeight="1" spans="3:9" x14ac:dyDescent="0.25">
      <c r="C731" s="144"/>
      <c r="F731" s="35"/>
      <c r="H731" s="35"/>
      <c r="I731" s="35"/>
    </row>
    <row r="732" ht="15.75" customHeight="1" spans="3:9" x14ac:dyDescent="0.25">
      <c r="C732" s="144"/>
      <c r="F732" s="35"/>
      <c r="H732" s="35"/>
      <c r="I732" s="35"/>
    </row>
    <row r="733" ht="15.75" customHeight="1" spans="3:9" x14ac:dyDescent="0.25">
      <c r="C733" s="144"/>
      <c r="F733" s="35"/>
      <c r="H733" s="35"/>
      <c r="I733" s="35"/>
    </row>
    <row r="734" ht="15.75" customHeight="1" spans="3:9" x14ac:dyDescent="0.25">
      <c r="C734" s="144"/>
      <c r="F734" s="35"/>
      <c r="H734" s="35"/>
      <c r="I734" s="35"/>
    </row>
    <row r="735" ht="15.75" customHeight="1" spans="3:9" x14ac:dyDescent="0.25">
      <c r="C735" s="144"/>
      <c r="F735" s="35"/>
      <c r="H735" s="35"/>
      <c r="I735" s="35"/>
    </row>
    <row r="736" ht="15.75" customHeight="1" spans="3:9" x14ac:dyDescent="0.25">
      <c r="C736" s="144"/>
      <c r="F736" s="35"/>
      <c r="H736" s="35"/>
      <c r="I736" s="35"/>
    </row>
    <row r="737" ht="15.75" customHeight="1" spans="3:9" x14ac:dyDescent="0.25">
      <c r="C737" s="144"/>
      <c r="F737" s="35"/>
      <c r="H737" s="35"/>
      <c r="I737" s="35"/>
    </row>
    <row r="738" ht="15.75" customHeight="1" spans="3:9" x14ac:dyDescent="0.25">
      <c r="C738" s="144"/>
      <c r="F738" s="35"/>
      <c r="H738" s="35"/>
      <c r="I738" s="35"/>
    </row>
    <row r="739" ht="15.75" customHeight="1" spans="3:9" x14ac:dyDescent="0.25">
      <c r="C739" s="144"/>
      <c r="F739" s="35"/>
      <c r="H739" s="35"/>
      <c r="I739" s="35"/>
    </row>
    <row r="740" ht="15.75" customHeight="1" spans="3:9" x14ac:dyDescent="0.25">
      <c r="C740" s="144"/>
      <c r="F740" s="35"/>
      <c r="H740" s="35"/>
      <c r="I740" s="35"/>
    </row>
    <row r="741" ht="15.75" customHeight="1" spans="3:9" x14ac:dyDescent="0.25">
      <c r="C741" s="144"/>
      <c r="F741" s="35"/>
      <c r="H741" s="35"/>
      <c r="I741" s="35"/>
    </row>
    <row r="742" ht="15.75" customHeight="1" spans="3:9" x14ac:dyDescent="0.25">
      <c r="C742" s="144"/>
      <c r="F742" s="35"/>
      <c r="H742" s="35"/>
      <c r="I742" s="35"/>
    </row>
    <row r="743" ht="15.75" customHeight="1" spans="3:9" x14ac:dyDescent="0.25">
      <c r="C743" s="144"/>
      <c r="F743" s="35"/>
      <c r="H743" s="35"/>
      <c r="I743" s="35"/>
    </row>
    <row r="744" ht="15.75" customHeight="1" spans="3:9" x14ac:dyDescent="0.25">
      <c r="C744" s="144"/>
      <c r="F744" s="35"/>
      <c r="H744" s="35"/>
      <c r="I744" s="35"/>
    </row>
    <row r="745" ht="15.75" customHeight="1" spans="3:9" x14ac:dyDescent="0.25">
      <c r="C745" s="144"/>
      <c r="F745" s="35"/>
      <c r="H745" s="35"/>
      <c r="I745" s="35"/>
    </row>
    <row r="746" ht="15.75" customHeight="1" spans="3:9" x14ac:dyDescent="0.25">
      <c r="C746" s="144"/>
      <c r="F746" s="35"/>
      <c r="H746" s="35"/>
      <c r="I746" s="35"/>
    </row>
    <row r="747" ht="15.75" customHeight="1" spans="3:9" x14ac:dyDescent="0.25">
      <c r="C747" s="144"/>
      <c r="F747" s="35"/>
      <c r="H747" s="35"/>
      <c r="I747" s="35"/>
    </row>
    <row r="748" ht="15.75" customHeight="1" spans="3:9" x14ac:dyDescent="0.25">
      <c r="C748" s="144"/>
      <c r="F748" s="35"/>
      <c r="H748" s="35"/>
      <c r="I748" s="35"/>
    </row>
    <row r="749" ht="15.75" customHeight="1" spans="3:9" x14ac:dyDescent="0.25">
      <c r="C749" s="144"/>
      <c r="F749" s="35"/>
      <c r="H749" s="35"/>
      <c r="I749" s="35"/>
    </row>
    <row r="750" ht="15.75" customHeight="1" spans="3:9" x14ac:dyDescent="0.25">
      <c r="C750" s="144"/>
      <c r="F750" s="35"/>
      <c r="H750" s="35"/>
      <c r="I750" s="35"/>
    </row>
    <row r="751" ht="15.75" customHeight="1" spans="3:9" x14ac:dyDescent="0.25">
      <c r="C751" s="144"/>
      <c r="F751" s="35"/>
      <c r="H751" s="35"/>
      <c r="I751" s="35"/>
    </row>
    <row r="752" ht="15.75" customHeight="1" spans="3:9" x14ac:dyDescent="0.25">
      <c r="C752" s="144"/>
      <c r="F752" s="35"/>
      <c r="H752" s="35"/>
      <c r="I752" s="35"/>
    </row>
    <row r="753" ht="15.75" customHeight="1" spans="3:9" x14ac:dyDescent="0.25">
      <c r="C753" s="144"/>
      <c r="F753" s="35"/>
      <c r="H753" s="35"/>
      <c r="I753" s="35"/>
    </row>
    <row r="754" ht="15.75" customHeight="1" spans="3:9" x14ac:dyDescent="0.25">
      <c r="C754" s="144"/>
      <c r="F754" s="35"/>
      <c r="H754" s="35"/>
      <c r="I754" s="35"/>
    </row>
    <row r="755" ht="15.75" customHeight="1" spans="3:9" x14ac:dyDescent="0.25">
      <c r="C755" s="144"/>
      <c r="F755" s="35"/>
      <c r="H755" s="35"/>
      <c r="I755" s="35"/>
    </row>
    <row r="756" ht="15.75" customHeight="1" spans="3:9" x14ac:dyDescent="0.25">
      <c r="C756" s="144"/>
      <c r="F756" s="35"/>
      <c r="H756" s="35"/>
      <c r="I756" s="35"/>
    </row>
    <row r="757" ht="15.75" customHeight="1" spans="3:9" x14ac:dyDescent="0.25">
      <c r="C757" s="144"/>
      <c r="F757" s="35"/>
      <c r="H757" s="35"/>
      <c r="I757" s="35"/>
    </row>
    <row r="758" ht="15.75" customHeight="1" spans="3:9" x14ac:dyDescent="0.25">
      <c r="C758" s="144"/>
      <c r="F758" s="35"/>
      <c r="H758" s="35"/>
      <c r="I758" s="35"/>
    </row>
    <row r="759" ht="15.75" customHeight="1" spans="3:9" x14ac:dyDescent="0.25">
      <c r="C759" s="144"/>
      <c r="F759" s="35"/>
      <c r="H759" s="35"/>
      <c r="I759" s="35"/>
    </row>
    <row r="760" ht="15.75" customHeight="1" spans="3:9" x14ac:dyDescent="0.25">
      <c r="C760" s="144"/>
      <c r="F760" s="35"/>
      <c r="H760" s="35"/>
      <c r="I760" s="35"/>
    </row>
    <row r="761" ht="15.75" customHeight="1" spans="3:9" x14ac:dyDescent="0.25">
      <c r="C761" s="144"/>
      <c r="F761" s="35"/>
      <c r="H761" s="35"/>
      <c r="I761" s="35"/>
    </row>
    <row r="762" ht="15.75" customHeight="1" spans="3:9" x14ac:dyDescent="0.25">
      <c r="C762" s="144"/>
      <c r="F762" s="35"/>
      <c r="H762" s="35"/>
      <c r="I762" s="35"/>
    </row>
    <row r="763" ht="15.75" customHeight="1" spans="3:9" x14ac:dyDescent="0.25">
      <c r="C763" s="144"/>
      <c r="F763" s="35"/>
      <c r="H763" s="35"/>
      <c r="I763" s="35"/>
    </row>
    <row r="764" ht="15.75" customHeight="1" spans="3:9" x14ac:dyDescent="0.25">
      <c r="C764" s="144"/>
      <c r="F764" s="35"/>
      <c r="H764" s="35"/>
      <c r="I764" s="35"/>
    </row>
    <row r="765" ht="15.75" customHeight="1" spans="3:9" x14ac:dyDescent="0.25">
      <c r="C765" s="144"/>
      <c r="F765" s="35"/>
      <c r="H765" s="35"/>
      <c r="I765" s="35"/>
    </row>
    <row r="766" ht="15.75" customHeight="1" spans="3:9" x14ac:dyDescent="0.25">
      <c r="C766" s="144"/>
      <c r="F766" s="35"/>
      <c r="H766" s="35"/>
      <c r="I766" s="35"/>
    </row>
    <row r="767" ht="15.75" customHeight="1" spans="3:9" x14ac:dyDescent="0.25">
      <c r="C767" s="144"/>
      <c r="F767" s="35"/>
      <c r="H767" s="35"/>
      <c r="I767" s="35"/>
    </row>
    <row r="768" ht="15.75" customHeight="1" spans="3:9" x14ac:dyDescent="0.25">
      <c r="C768" s="144"/>
      <c r="F768" s="35"/>
      <c r="H768" s="35"/>
      <c r="I768" s="35"/>
    </row>
    <row r="769" ht="15.75" customHeight="1" spans="3:9" x14ac:dyDescent="0.25">
      <c r="C769" s="144"/>
      <c r="F769" s="35"/>
      <c r="H769" s="35"/>
      <c r="I769" s="35"/>
    </row>
    <row r="770" ht="15.75" customHeight="1" spans="3:9" x14ac:dyDescent="0.25">
      <c r="C770" s="144"/>
      <c r="F770" s="35"/>
      <c r="H770" s="35"/>
      <c r="I770" s="35"/>
    </row>
    <row r="771" ht="15.75" customHeight="1" spans="3:9" x14ac:dyDescent="0.25">
      <c r="C771" s="144"/>
      <c r="F771" s="35"/>
      <c r="H771" s="35"/>
      <c r="I771" s="35"/>
    </row>
    <row r="772" ht="15.75" customHeight="1" spans="3:9" x14ac:dyDescent="0.25">
      <c r="C772" s="144"/>
      <c r="F772" s="35"/>
      <c r="H772" s="35"/>
      <c r="I772" s="35"/>
    </row>
    <row r="773" ht="15.75" customHeight="1" spans="3:9" x14ac:dyDescent="0.25">
      <c r="C773" s="144"/>
      <c r="F773" s="35"/>
      <c r="H773" s="35"/>
      <c r="I773" s="35"/>
    </row>
    <row r="774" ht="15.75" customHeight="1" spans="3:9" x14ac:dyDescent="0.25">
      <c r="C774" s="144"/>
      <c r="F774" s="35"/>
      <c r="H774" s="35"/>
      <c r="I774" s="35"/>
    </row>
    <row r="775" ht="15.75" customHeight="1" spans="3:9" x14ac:dyDescent="0.25">
      <c r="C775" s="144"/>
      <c r="F775" s="35"/>
      <c r="H775" s="35"/>
      <c r="I775" s="35"/>
    </row>
    <row r="776" ht="15.75" customHeight="1" spans="3:9" x14ac:dyDescent="0.25">
      <c r="C776" s="144"/>
      <c r="F776" s="35"/>
      <c r="H776" s="35"/>
      <c r="I776" s="35"/>
    </row>
    <row r="777" ht="15.75" customHeight="1" spans="3:9" x14ac:dyDescent="0.25">
      <c r="C777" s="144"/>
      <c r="F777" s="35"/>
      <c r="H777" s="35"/>
      <c r="I777" s="35"/>
    </row>
    <row r="778" ht="15.75" customHeight="1" spans="3:9" x14ac:dyDescent="0.25">
      <c r="C778" s="144"/>
      <c r="F778" s="35"/>
      <c r="H778" s="35"/>
      <c r="I778" s="35"/>
    </row>
    <row r="779" ht="15.75" customHeight="1" spans="3:9" x14ac:dyDescent="0.25">
      <c r="C779" s="144"/>
      <c r="F779" s="35"/>
      <c r="H779" s="35"/>
      <c r="I779" s="35"/>
    </row>
    <row r="780" ht="15.75" customHeight="1" spans="3:9" x14ac:dyDescent="0.25">
      <c r="C780" s="144"/>
      <c r="F780" s="35"/>
      <c r="H780" s="35"/>
      <c r="I780" s="35"/>
    </row>
    <row r="781" ht="15.75" customHeight="1" spans="3:9" x14ac:dyDescent="0.25">
      <c r="C781" s="144"/>
      <c r="F781" s="35"/>
      <c r="H781" s="35"/>
      <c r="I781" s="35"/>
    </row>
    <row r="782" ht="15.75" customHeight="1" spans="3:9" x14ac:dyDescent="0.25">
      <c r="C782" s="144"/>
      <c r="F782" s="35"/>
      <c r="H782" s="35"/>
      <c r="I782" s="35"/>
    </row>
    <row r="783" ht="15.75" customHeight="1" spans="3:9" x14ac:dyDescent="0.25">
      <c r="C783" s="144"/>
      <c r="F783" s="35"/>
      <c r="H783" s="35"/>
      <c r="I783" s="35"/>
    </row>
    <row r="784" ht="15.75" customHeight="1" spans="3:9" x14ac:dyDescent="0.25">
      <c r="C784" s="144"/>
      <c r="F784" s="35"/>
      <c r="H784" s="35"/>
      <c r="I784" s="35"/>
    </row>
    <row r="785" ht="15.75" customHeight="1" spans="3:9" x14ac:dyDescent="0.25">
      <c r="C785" s="144"/>
      <c r="F785" s="35"/>
      <c r="H785" s="35"/>
      <c r="I785" s="35"/>
    </row>
    <row r="786" ht="15.75" customHeight="1" spans="3:9" x14ac:dyDescent="0.25">
      <c r="C786" s="144"/>
      <c r="F786" s="35"/>
      <c r="H786" s="35"/>
      <c r="I786" s="35"/>
    </row>
    <row r="787" ht="15.75" customHeight="1" spans="3:9" x14ac:dyDescent="0.25">
      <c r="C787" s="144"/>
      <c r="F787" s="35"/>
      <c r="H787" s="35"/>
      <c r="I787" s="35"/>
    </row>
    <row r="788" ht="15.75" customHeight="1" spans="3:9" x14ac:dyDescent="0.25">
      <c r="C788" s="144"/>
      <c r="F788" s="35"/>
      <c r="H788" s="35"/>
      <c r="I788" s="35"/>
    </row>
    <row r="789" ht="15.75" customHeight="1" spans="3:9" x14ac:dyDescent="0.25">
      <c r="C789" s="144"/>
      <c r="F789" s="35"/>
      <c r="H789" s="35"/>
      <c r="I789" s="35"/>
    </row>
    <row r="790" ht="15.75" customHeight="1" spans="3:9" x14ac:dyDescent="0.25">
      <c r="C790" s="144"/>
      <c r="F790" s="35"/>
      <c r="H790" s="35"/>
      <c r="I790" s="35"/>
    </row>
    <row r="791" ht="15.75" customHeight="1" spans="3:9" x14ac:dyDescent="0.25">
      <c r="C791" s="144"/>
      <c r="F791" s="35"/>
      <c r="H791" s="35"/>
      <c r="I791" s="35"/>
    </row>
    <row r="792" ht="15.75" customHeight="1" spans="3:9" x14ac:dyDescent="0.25">
      <c r="C792" s="144"/>
      <c r="F792" s="35"/>
      <c r="H792" s="35"/>
      <c r="I792" s="35"/>
    </row>
    <row r="793" ht="15.75" customHeight="1" spans="3:9" x14ac:dyDescent="0.25">
      <c r="C793" s="144"/>
      <c r="F793" s="35"/>
      <c r="H793" s="35"/>
      <c r="I793" s="35"/>
    </row>
    <row r="794" ht="15.75" customHeight="1" spans="3:9" x14ac:dyDescent="0.25">
      <c r="C794" s="144"/>
      <c r="F794" s="35"/>
      <c r="H794" s="35"/>
      <c r="I794" s="35"/>
    </row>
    <row r="795" ht="15.75" customHeight="1" spans="3:9" x14ac:dyDescent="0.25">
      <c r="C795" s="144"/>
      <c r="F795" s="35"/>
      <c r="H795" s="35"/>
      <c r="I795" s="35"/>
    </row>
    <row r="796" ht="15.75" customHeight="1" spans="3:9" x14ac:dyDescent="0.25">
      <c r="C796" s="144"/>
      <c r="F796" s="35"/>
      <c r="H796" s="35"/>
      <c r="I796" s="35"/>
    </row>
    <row r="797" ht="15.75" customHeight="1" spans="3:9" x14ac:dyDescent="0.25">
      <c r="C797" s="144"/>
      <c r="F797" s="35"/>
      <c r="H797" s="35"/>
      <c r="I797" s="35"/>
    </row>
    <row r="798" ht="15.75" customHeight="1" spans="3:9" x14ac:dyDescent="0.25">
      <c r="C798" s="144"/>
      <c r="F798" s="35"/>
      <c r="H798" s="35"/>
      <c r="I798" s="35"/>
    </row>
    <row r="799" ht="15.75" customHeight="1" spans="3:9" x14ac:dyDescent="0.25">
      <c r="C799" s="144"/>
      <c r="F799" s="35"/>
      <c r="H799" s="35"/>
      <c r="I799" s="35"/>
    </row>
    <row r="800" ht="15.75" customHeight="1" spans="3:9" x14ac:dyDescent="0.25">
      <c r="C800" s="144"/>
      <c r="F800" s="35"/>
      <c r="H800" s="35"/>
      <c r="I800" s="35"/>
    </row>
    <row r="801" ht="15.75" customHeight="1" spans="3:9" x14ac:dyDescent="0.25">
      <c r="C801" s="144"/>
      <c r="F801" s="35"/>
      <c r="H801" s="35"/>
      <c r="I801" s="35"/>
    </row>
    <row r="802" ht="15.75" customHeight="1" spans="3:9" x14ac:dyDescent="0.25">
      <c r="C802" s="144"/>
      <c r="F802" s="35"/>
      <c r="H802" s="35"/>
      <c r="I802" s="35"/>
    </row>
    <row r="803" ht="15.75" customHeight="1" spans="3:9" x14ac:dyDescent="0.25">
      <c r="C803" s="144"/>
      <c r="F803" s="35"/>
      <c r="H803" s="35"/>
      <c r="I803" s="35"/>
    </row>
    <row r="804" ht="15.75" customHeight="1" spans="3:9" x14ac:dyDescent="0.25">
      <c r="C804" s="144"/>
      <c r="F804" s="35"/>
      <c r="H804" s="35"/>
      <c r="I804" s="35"/>
    </row>
    <row r="805" ht="15.75" customHeight="1" spans="3:9" x14ac:dyDescent="0.25">
      <c r="C805" s="144"/>
      <c r="F805" s="35"/>
      <c r="H805" s="35"/>
      <c r="I805" s="35"/>
    </row>
    <row r="806" ht="15.75" customHeight="1" spans="3:9" x14ac:dyDescent="0.25">
      <c r="C806" s="144"/>
      <c r="F806" s="35"/>
      <c r="H806" s="35"/>
      <c r="I806" s="35"/>
    </row>
    <row r="807" ht="15.75" customHeight="1" spans="3:9" x14ac:dyDescent="0.25">
      <c r="C807" s="144"/>
      <c r="F807" s="35"/>
      <c r="H807" s="35"/>
      <c r="I807" s="35"/>
    </row>
    <row r="808" ht="15.75" customHeight="1" spans="3:9" x14ac:dyDescent="0.25">
      <c r="C808" s="144"/>
      <c r="F808" s="35"/>
      <c r="H808" s="35"/>
      <c r="I808" s="35"/>
    </row>
    <row r="809" ht="15.75" customHeight="1" spans="3:9" x14ac:dyDescent="0.25">
      <c r="C809" s="144"/>
      <c r="F809" s="35"/>
      <c r="H809" s="35"/>
      <c r="I809" s="35"/>
    </row>
    <row r="810" ht="15.75" customHeight="1" spans="3:9" x14ac:dyDescent="0.25">
      <c r="C810" s="144"/>
      <c r="F810" s="35"/>
      <c r="H810" s="35"/>
      <c r="I810" s="35"/>
    </row>
    <row r="811" ht="15.75" customHeight="1" spans="3:9" x14ac:dyDescent="0.25">
      <c r="C811" s="144"/>
      <c r="F811" s="35"/>
      <c r="H811" s="35"/>
      <c r="I811" s="35"/>
    </row>
    <row r="812" ht="15.75" customHeight="1" spans="3:9" x14ac:dyDescent="0.25">
      <c r="C812" s="144"/>
      <c r="F812" s="35"/>
      <c r="H812" s="35"/>
      <c r="I812" s="35"/>
    </row>
    <row r="813" ht="15.75" customHeight="1" spans="3:9" x14ac:dyDescent="0.25">
      <c r="C813" s="144"/>
      <c r="F813" s="35"/>
      <c r="H813" s="35"/>
      <c r="I813" s="35"/>
    </row>
    <row r="814" ht="15.75" customHeight="1" spans="3:9" x14ac:dyDescent="0.25">
      <c r="C814" s="144"/>
      <c r="F814" s="35"/>
      <c r="H814" s="35"/>
      <c r="I814" s="35"/>
    </row>
    <row r="815" ht="15.75" customHeight="1" spans="3:9" x14ac:dyDescent="0.25">
      <c r="C815" s="144"/>
      <c r="F815" s="35"/>
      <c r="H815" s="35"/>
      <c r="I815" s="35"/>
    </row>
    <row r="816" ht="15.75" customHeight="1" spans="3:9" x14ac:dyDescent="0.25">
      <c r="C816" s="144"/>
      <c r="F816" s="35"/>
      <c r="H816" s="35"/>
      <c r="I816" s="35"/>
    </row>
    <row r="817" ht="15.75" customHeight="1" spans="3:9" x14ac:dyDescent="0.25">
      <c r="C817" s="144"/>
      <c r="F817" s="35"/>
      <c r="H817" s="35"/>
      <c r="I817" s="35"/>
    </row>
    <row r="818" ht="15.75" customHeight="1" spans="3:9" x14ac:dyDescent="0.25">
      <c r="C818" s="144"/>
      <c r="F818" s="35"/>
      <c r="H818" s="35"/>
      <c r="I818" s="35"/>
    </row>
    <row r="819" ht="15.75" customHeight="1" spans="3:9" x14ac:dyDescent="0.25">
      <c r="C819" s="144"/>
      <c r="F819" s="35"/>
      <c r="H819" s="35"/>
      <c r="I819" s="35"/>
    </row>
    <row r="820" ht="15.75" customHeight="1" spans="3:9" x14ac:dyDescent="0.25">
      <c r="C820" s="144"/>
      <c r="F820" s="35"/>
      <c r="H820" s="35"/>
      <c r="I820" s="35"/>
    </row>
    <row r="821" ht="15.75" customHeight="1" spans="3:9" x14ac:dyDescent="0.25">
      <c r="C821" s="144"/>
      <c r="F821" s="35"/>
      <c r="H821" s="35"/>
      <c r="I821" s="35"/>
    </row>
    <row r="822" ht="15.75" customHeight="1" spans="3:9" x14ac:dyDescent="0.25">
      <c r="C822" s="144"/>
      <c r="F822" s="35"/>
      <c r="H822" s="35"/>
      <c r="I822" s="35"/>
    </row>
    <row r="823" ht="15.75" customHeight="1" spans="3:9" x14ac:dyDescent="0.25">
      <c r="C823" s="144"/>
      <c r="F823" s="35"/>
      <c r="H823" s="35"/>
      <c r="I823" s="35"/>
    </row>
    <row r="824" ht="15.75" customHeight="1" spans="3:9" x14ac:dyDescent="0.25">
      <c r="C824" s="144"/>
      <c r="F824" s="35"/>
      <c r="H824" s="35"/>
      <c r="I824" s="35"/>
    </row>
    <row r="825" ht="15.75" customHeight="1" spans="3:9" x14ac:dyDescent="0.25">
      <c r="C825" s="144"/>
      <c r="F825" s="35"/>
      <c r="H825" s="35"/>
      <c r="I825" s="35"/>
    </row>
    <row r="826" ht="15.75" customHeight="1" spans="3:9" x14ac:dyDescent="0.25">
      <c r="C826" s="144"/>
      <c r="F826" s="35"/>
      <c r="H826" s="35"/>
      <c r="I826" s="35"/>
    </row>
    <row r="827" ht="15.75" customHeight="1" spans="3:9" x14ac:dyDescent="0.25">
      <c r="C827" s="144"/>
      <c r="F827" s="35"/>
      <c r="H827" s="35"/>
      <c r="I827" s="35"/>
    </row>
    <row r="828" ht="15.75" customHeight="1" spans="3:9" x14ac:dyDescent="0.25">
      <c r="C828" s="144"/>
      <c r="F828" s="35"/>
      <c r="H828" s="35"/>
      <c r="I828" s="35"/>
    </row>
    <row r="829" ht="15.75" customHeight="1" spans="3:9" x14ac:dyDescent="0.25">
      <c r="C829" s="144"/>
      <c r="F829" s="35"/>
      <c r="H829" s="35"/>
      <c r="I829" s="35"/>
    </row>
    <row r="830" ht="15.75" customHeight="1" spans="3:9" x14ac:dyDescent="0.25">
      <c r="C830" s="144"/>
      <c r="F830" s="35"/>
      <c r="H830" s="35"/>
      <c r="I830" s="35"/>
    </row>
    <row r="831" ht="15.75" customHeight="1" spans="3:9" x14ac:dyDescent="0.25">
      <c r="C831" s="144"/>
      <c r="F831" s="35"/>
      <c r="H831" s="35"/>
      <c r="I831" s="35"/>
    </row>
    <row r="832" ht="15.75" customHeight="1" spans="3:9" x14ac:dyDescent="0.25">
      <c r="C832" s="144"/>
      <c r="F832" s="35"/>
      <c r="H832" s="35"/>
      <c r="I832" s="35"/>
    </row>
    <row r="833" ht="15.75" customHeight="1" spans="3:9" x14ac:dyDescent="0.25">
      <c r="C833" s="144"/>
      <c r="F833" s="35"/>
      <c r="H833" s="35"/>
      <c r="I833" s="35"/>
    </row>
    <row r="834" ht="15.75" customHeight="1" spans="3:9" x14ac:dyDescent="0.25">
      <c r="C834" s="144"/>
      <c r="F834" s="35"/>
      <c r="H834" s="35"/>
      <c r="I834" s="35"/>
    </row>
    <row r="835" ht="15.75" customHeight="1" spans="3:9" x14ac:dyDescent="0.25">
      <c r="C835" s="144"/>
      <c r="F835" s="35"/>
      <c r="H835" s="35"/>
      <c r="I835" s="35"/>
    </row>
    <row r="836" ht="15.75" customHeight="1" spans="3:9" x14ac:dyDescent="0.25">
      <c r="C836" s="144"/>
      <c r="F836" s="35"/>
      <c r="H836" s="35"/>
      <c r="I836" s="35"/>
    </row>
    <row r="837" ht="15.75" customHeight="1" spans="3:9" x14ac:dyDescent="0.25">
      <c r="C837" s="144"/>
      <c r="F837" s="35"/>
      <c r="H837" s="35"/>
      <c r="I837" s="35"/>
    </row>
    <row r="838" ht="15.75" customHeight="1" spans="3:9" x14ac:dyDescent="0.25">
      <c r="C838" s="144"/>
      <c r="F838" s="35"/>
      <c r="H838" s="35"/>
      <c r="I838" s="35"/>
    </row>
    <row r="839" ht="15.75" customHeight="1" spans="3:9" x14ac:dyDescent="0.25">
      <c r="C839" s="144"/>
      <c r="F839" s="35"/>
      <c r="H839" s="35"/>
      <c r="I839" s="35"/>
    </row>
    <row r="840" ht="15.75" customHeight="1" spans="3:9" x14ac:dyDescent="0.25">
      <c r="C840" s="144"/>
      <c r="F840" s="35"/>
      <c r="H840" s="35"/>
      <c r="I840" s="35"/>
    </row>
    <row r="841" ht="15.75" customHeight="1" spans="3:9" x14ac:dyDescent="0.25">
      <c r="C841" s="144"/>
      <c r="F841" s="35"/>
      <c r="H841" s="35"/>
      <c r="I841" s="35"/>
    </row>
    <row r="842" ht="15.75" customHeight="1" spans="3:9" x14ac:dyDescent="0.25">
      <c r="C842" s="144"/>
      <c r="F842" s="35"/>
      <c r="H842" s="35"/>
      <c r="I842" s="35"/>
    </row>
    <row r="843" ht="15.75" customHeight="1" spans="3:9" x14ac:dyDescent="0.25">
      <c r="C843" s="144"/>
      <c r="F843" s="35"/>
      <c r="H843" s="35"/>
      <c r="I843" s="35"/>
    </row>
    <row r="844" ht="15.75" customHeight="1" spans="3:9" x14ac:dyDescent="0.25">
      <c r="C844" s="144"/>
      <c r="F844" s="35"/>
      <c r="H844" s="35"/>
      <c r="I844" s="35"/>
    </row>
    <row r="845" ht="15.75" customHeight="1" spans="3:9" x14ac:dyDescent="0.25">
      <c r="C845" s="144"/>
      <c r="F845" s="35"/>
      <c r="H845" s="35"/>
      <c r="I845" s="35"/>
    </row>
    <row r="846" ht="15.75" customHeight="1" spans="3:9" x14ac:dyDescent="0.25">
      <c r="C846" s="144"/>
      <c r="F846" s="35"/>
      <c r="H846" s="35"/>
      <c r="I846" s="35"/>
    </row>
    <row r="847" ht="15.75" customHeight="1" spans="3:9" x14ac:dyDescent="0.25">
      <c r="C847" s="144"/>
      <c r="F847" s="35"/>
      <c r="H847" s="35"/>
      <c r="I847" s="35"/>
    </row>
    <row r="848" ht="15.75" customHeight="1" spans="3:9" x14ac:dyDescent="0.25">
      <c r="C848" s="144"/>
      <c r="F848" s="35"/>
      <c r="H848" s="35"/>
      <c r="I848" s="35"/>
    </row>
    <row r="849" ht="15.75" customHeight="1" spans="3:9" x14ac:dyDescent="0.25">
      <c r="C849" s="144"/>
      <c r="F849" s="35"/>
      <c r="H849" s="35"/>
      <c r="I849" s="35"/>
    </row>
    <row r="850" ht="15.75" customHeight="1" spans="3:9" x14ac:dyDescent="0.25">
      <c r="C850" s="144"/>
      <c r="F850" s="35"/>
      <c r="H850" s="35"/>
      <c r="I850" s="35"/>
    </row>
    <row r="851" ht="15.75" customHeight="1" spans="3:9" x14ac:dyDescent="0.25">
      <c r="C851" s="144"/>
      <c r="F851" s="35"/>
      <c r="H851" s="35"/>
      <c r="I851" s="35"/>
    </row>
    <row r="852" ht="15.75" customHeight="1" spans="3:9" x14ac:dyDescent="0.25">
      <c r="C852" s="144"/>
      <c r="F852" s="35"/>
      <c r="H852" s="35"/>
      <c r="I852" s="35"/>
    </row>
    <row r="853" ht="15.75" customHeight="1" spans="3:9" x14ac:dyDescent="0.25">
      <c r="C853" s="144"/>
      <c r="F853" s="35"/>
      <c r="H853" s="35"/>
      <c r="I853" s="35"/>
    </row>
    <row r="854" ht="15.75" customHeight="1" spans="3:9" x14ac:dyDescent="0.25">
      <c r="C854" s="144"/>
      <c r="F854" s="35"/>
      <c r="H854" s="35"/>
      <c r="I854" s="35"/>
    </row>
    <row r="855" ht="15.75" customHeight="1" spans="3:9" x14ac:dyDescent="0.25">
      <c r="C855" s="144"/>
      <c r="F855" s="35"/>
      <c r="H855" s="35"/>
      <c r="I855" s="35"/>
    </row>
    <row r="856" ht="15.75" customHeight="1" spans="3:9" x14ac:dyDescent="0.25">
      <c r="C856" s="144"/>
      <c r="F856" s="35"/>
      <c r="H856" s="35"/>
      <c r="I856" s="35"/>
    </row>
    <row r="857" ht="15.75" customHeight="1" spans="3:9" x14ac:dyDescent="0.25">
      <c r="C857" s="144"/>
      <c r="F857" s="35"/>
      <c r="H857" s="35"/>
      <c r="I857" s="35"/>
    </row>
    <row r="858" ht="15.75" customHeight="1" spans="3:9" x14ac:dyDescent="0.25">
      <c r="C858" s="144"/>
      <c r="F858" s="35"/>
      <c r="H858" s="35"/>
      <c r="I858" s="35"/>
    </row>
    <row r="859" ht="15.75" customHeight="1" spans="3:9" x14ac:dyDescent="0.25">
      <c r="C859" s="144"/>
      <c r="F859" s="35"/>
      <c r="H859" s="35"/>
      <c r="I859" s="35"/>
    </row>
    <row r="860" ht="15.75" customHeight="1" spans="3:9" x14ac:dyDescent="0.25">
      <c r="C860" s="144"/>
      <c r="F860" s="35"/>
      <c r="H860" s="35"/>
      <c r="I860" s="35"/>
    </row>
    <row r="861" ht="15.75" customHeight="1" spans="3:9" x14ac:dyDescent="0.25">
      <c r="C861" s="144"/>
      <c r="F861" s="35"/>
      <c r="H861" s="35"/>
      <c r="I861" s="35"/>
    </row>
    <row r="862" ht="15.75" customHeight="1" spans="3:9" x14ac:dyDescent="0.25">
      <c r="C862" s="144"/>
      <c r="F862" s="35"/>
      <c r="H862" s="35"/>
      <c r="I862" s="35"/>
    </row>
    <row r="863" ht="15.75" customHeight="1" spans="3:9" x14ac:dyDescent="0.25">
      <c r="C863" s="144"/>
      <c r="F863" s="35"/>
      <c r="H863" s="35"/>
      <c r="I863" s="35"/>
    </row>
    <row r="864" ht="15.75" customHeight="1" spans="3:9" x14ac:dyDescent="0.25">
      <c r="C864" s="144"/>
      <c r="F864" s="35"/>
      <c r="H864" s="35"/>
      <c r="I864" s="35"/>
    </row>
    <row r="865" ht="15.75" customHeight="1" spans="3:9" x14ac:dyDescent="0.25">
      <c r="C865" s="144"/>
      <c r="F865" s="35"/>
      <c r="H865" s="35"/>
      <c r="I865" s="35"/>
    </row>
    <row r="866" ht="15.75" customHeight="1" spans="3:9" x14ac:dyDescent="0.25">
      <c r="C866" s="144"/>
      <c r="F866" s="35"/>
      <c r="H866" s="35"/>
      <c r="I866" s="35"/>
    </row>
    <row r="867" ht="15.75" customHeight="1" spans="3:9" x14ac:dyDescent="0.25">
      <c r="C867" s="144"/>
      <c r="F867" s="35"/>
      <c r="H867" s="35"/>
      <c r="I867" s="35"/>
    </row>
    <row r="868" ht="15.75" customHeight="1" spans="3:9" x14ac:dyDescent="0.25">
      <c r="C868" s="144"/>
      <c r="F868" s="35"/>
      <c r="H868" s="35"/>
      <c r="I868" s="35"/>
    </row>
    <row r="869" ht="15.75" customHeight="1" spans="3:9" x14ac:dyDescent="0.25">
      <c r="C869" s="144"/>
      <c r="F869" s="35"/>
      <c r="H869" s="35"/>
      <c r="I869" s="35"/>
    </row>
    <row r="870" ht="15.75" customHeight="1" spans="3:9" x14ac:dyDescent="0.25">
      <c r="C870" s="144"/>
      <c r="F870" s="35"/>
      <c r="H870" s="35"/>
      <c r="I870" s="35"/>
    </row>
    <row r="871" ht="15.75" customHeight="1" spans="3:9" x14ac:dyDescent="0.25">
      <c r="C871" s="144"/>
      <c r="F871" s="35"/>
      <c r="H871" s="35"/>
      <c r="I871" s="35"/>
    </row>
    <row r="872" ht="15.75" customHeight="1" spans="3:9" x14ac:dyDescent="0.25">
      <c r="C872" s="144"/>
      <c r="F872" s="35"/>
      <c r="H872" s="35"/>
      <c r="I872" s="35"/>
    </row>
    <row r="873" ht="15.75" customHeight="1" spans="3:9" x14ac:dyDescent="0.25">
      <c r="C873" s="144"/>
      <c r="F873" s="35"/>
      <c r="H873" s="35"/>
      <c r="I873" s="35"/>
    </row>
    <row r="874" ht="15.75" customHeight="1" spans="3:9" x14ac:dyDescent="0.25">
      <c r="C874" s="144"/>
      <c r="F874" s="35"/>
      <c r="H874" s="35"/>
      <c r="I874" s="35"/>
    </row>
    <row r="875" ht="15.75" customHeight="1" spans="3:9" x14ac:dyDescent="0.25">
      <c r="C875" s="144"/>
      <c r="F875" s="35"/>
      <c r="H875" s="35"/>
      <c r="I875" s="35"/>
    </row>
    <row r="876" ht="15.75" customHeight="1" spans="3:9" x14ac:dyDescent="0.25">
      <c r="C876" s="144"/>
      <c r="F876" s="35"/>
      <c r="H876" s="35"/>
      <c r="I876" s="35"/>
    </row>
    <row r="877" ht="15.75" customHeight="1" spans="3:9" x14ac:dyDescent="0.25">
      <c r="C877" s="144"/>
      <c r="F877" s="35"/>
      <c r="H877" s="35"/>
      <c r="I877" s="35"/>
    </row>
    <row r="878" ht="15.75" customHeight="1" spans="3:9" x14ac:dyDescent="0.25">
      <c r="C878" s="144"/>
      <c r="F878" s="35"/>
      <c r="H878" s="35"/>
      <c r="I878" s="35"/>
    </row>
    <row r="879" ht="15.75" customHeight="1" spans="3:9" x14ac:dyDescent="0.25">
      <c r="C879" s="144"/>
      <c r="F879" s="35"/>
      <c r="H879" s="35"/>
      <c r="I879" s="35"/>
    </row>
    <row r="880" ht="15.75" customHeight="1" spans="3:9" x14ac:dyDescent="0.25">
      <c r="C880" s="144"/>
      <c r="F880" s="35"/>
      <c r="H880" s="35"/>
      <c r="I880" s="35"/>
    </row>
    <row r="881" ht="15.75" customHeight="1" spans="3:9" x14ac:dyDescent="0.25">
      <c r="C881" s="144"/>
      <c r="F881" s="35"/>
      <c r="H881" s="35"/>
      <c r="I881" s="35"/>
    </row>
    <row r="882" ht="15.75" customHeight="1" spans="3:9" x14ac:dyDescent="0.25">
      <c r="C882" s="144"/>
      <c r="F882" s="35"/>
      <c r="H882" s="35"/>
      <c r="I882" s="35"/>
    </row>
    <row r="883" ht="15.75" customHeight="1" spans="3:9" x14ac:dyDescent="0.25">
      <c r="C883" s="144"/>
      <c r="F883" s="35"/>
      <c r="H883" s="35"/>
      <c r="I883" s="35"/>
    </row>
    <row r="884" ht="15.75" customHeight="1" spans="3:9" x14ac:dyDescent="0.25">
      <c r="C884" s="144"/>
      <c r="F884" s="35"/>
      <c r="H884" s="35"/>
      <c r="I884" s="35"/>
    </row>
    <row r="885" ht="15.75" customHeight="1" spans="3:9" x14ac:dyDescent="0.25">
      <c r="C885" s="144"/>
      <c r="F885" s="35"/>
      <c r="H885" s="35"/>
      <c r="I885" s="35"/>
    </row>
    <row r="886" ht="15.75" customHeight="1" spans="3:9" x14ac:dyDescent="0.25">
      <c r="C886" s="144"/>
      <c r="F886" s="35"/>
      <c r="H886" s="35"/>
      <c r="I886" s="35"/>
    </row>
    <row r="887" ht="15.75" customHeight="1" spans="3:9" x14ac:dyDescent="0.25">
      <c r="C887" s="144"/>
      <c r="F887" s="35"/>
      <c r="H887" s="35"/>
      <c r="I887" s="35"/>
    </row>
    <row r="888" ht="15.75" customHeight="1" spans="3:9" x14ac:dyDescent="0.25">
      <c r="C888" s="144"/>
      <c r="F888" s="35"/>
      <c r="H888" s="35"/>
      <c r="I888" s="35"/>
    </row>
    <row r="889" ht="15.75" customHeight="1" spans="3:9" x14ac:dyDescent="0.25">
      <c r="C889" s="144"/>
      <c r="F889" s="35"/>
      <c r="H889" s="35"/>
      <c r="I889" s="35"/>
    </row>
    <row r="890" ht="15.75" customHeight="1" spans="3:9" x14ac:dyDescent="0.25">
      <c r="C890" s="144"/>
      <c r="F890" s="35"/>
      <c r="H890" s="35"/>
      <c r="I890" s="35"/>
    </row>
    <row r="891" ht="15.75" customHeight="1" spans="3:9" x14ac:dyDescent="0.25">
      <c r="C891" s="144"/>
      <c r="F891" s="35"/>
      <c r="H891" s="35"/>
      <c r="I891" s="35"/>
    </row>
    <row r="892" ht="15.75" customHeight="1" spans="3:9" x14ac:dyDescent="0.25">
      <c r="C892" s="144"/>
      <c r="F892" s="35"/>
      <c r="H892" s="35"/>
      <c r="I892" s="35"/>
    </row>
    <row r="893" ht="15.75" customHeight="1" spans="3:9" x14ac:dyDescent="0.25">
      <c r="C893" s="144"/>
      <c r="F893" s="35"/>
      <c r="H893" s="35"/>
      <c r="I893" s="35"/>
    </row>
    <row r="894" ht="15.75" customHeight="1" spans="3:9" x14ac:dyDescent="0.25">
      <c r="C894" s="144"/>
      <c r="F894" s="35"/>
      <c r="H894" s="35"/>
      <c r="I894" s="35"/>
    </row>
    <row r="895" ht="15.75" customHeight="1" spans="3:9" x14ac:dyDescent="0.25">
      <c r="C895" s="144"/>
      <c r="F895" s="35"/>
      <c r="H895" s="35"/>
      <c r="I895" s="35"/>
    </row>
    <row r="896" ht="15.75" customHeight="1" spans="3:9" x14ac:dyDescent="0.25">
      <c r="C896" s="144"/>
      <c r="F896" s="35"/>
      <c r="H896" s="35"/>
      <c r="I896" s="35"/>
    </row>
    <row r="897" ht="15.75" customHeight="1" spans="3:9" x14ac:dyDescent="0.25">
      <c r="C897" s="144"/>
      <c r="F897" s="35"/>
      <c r="H897" s="35"/>
      <c r="I897" s="35"/>
    </row>
    <row r="898" ht="15.75" customHeight="1" spans="3:9" x14ac:dyDescent="0.25">
      <c r="C898" s="144"/>
      <c r="F898" s="35"/>
      <c r="H898" s="35"/>
      <c r="I898" s="35"/>
    </row>
    <row r="899" ht="15.75" customHeight="1" spans="3:9" x14ac:dyDescent="0.25">
      <c r="C899" s="144"/>
      <c r="F899" s="35"/>
      <c r="H899" s="35"/>
      <c r="I899" s="35"/>
    </row>
    <row r="900" ht="15.75" customHeight="1" spans="3:9" x14ac:dyDescent="0.25">
      <c r="C900" s="144"/>
      <c r="F900" s="35"/>
      <c r="H900" s="35"/>
      <c r="I900" s="35"/>
    </row>
    <row r="901" ht="15.75" customHeight="1" spans="3:9" x14ac:dyDescent="0.25">
      <c r="C901" s="144"/>
      <c r="F901" s="35"/>
      <c r="H901" s="35"/>
      <c r="I901" s="35"/>
    </row>
    <row r="902" ht="15.75" customHeight="1" spans="3:9" x14ac:dyDescent="0.25">
      <c r="C902" s="144"/>
      <c r="F902" s="35"/>
      <c r="H902" s="35"/>
      <c r="I902" s="35"/>
    </row>
    <row r="903" ht="15.75" customHeight="1" spans="3:9" x14ac:dyDescent="0.25">
      <c r="C903" s="144"/>
      <c r="F903" s="35"/>
      <c r="H903" s="35"/>
      <c r="I903" s="35"/>
    </row>
    <row r="904" ht="15.75" customHeight="1" spans="3:9" x14ac:dyDescent="0.25">
      <c r="C904" s="144"/>
      <c r="F904" s="35"/>
      <c r="H904" s="35"/>
      <c r="I904" s="35"/>
    </row>
    <row r="905" ht="15.75" customHeight="1" spans="3:9" x14ac:dyDescent="0.25">
      <c r="C905" s="144"/>
      <c r="F905" s="35"/>
      <c r="H905" s="35"/>
      <c r="I905" s="35"/>
    </row>
    <row r="906" ht="15.75" customHeight="1" spans="3:9" x14ac:dyDescent="0.25">
      <c r="C906" s="144"/>
      <c r="F906" s="35"/>
      <c r="H906" s="35"/>
      <c r="I906" s="35"/>
    </row>
    <row r="907" ht="15.75" customHeight="1" spans="3:9" x14ac:dyDescent="0.25">
      <c r="C907" s="144"/>
      <c r="F907" s="35"/>
      <c r="H907" s="35"/>
      <c r="I907" s="35"/>
    </row>
    <row r="908" ht="15.75" customHeight="1" spans="3:9" x14ac:dyDescent="0.25">
      <c r="C908" s="144"/>
      <c r="F908" s="35"/>
      <c r="H908" s="35"/>
      <c r="I908" s="35"/>
    </row>
    <row r="909" ht="15.75" customHeight="1" spans="3:9" x14ac:dyDescent="0.25">
      <c r="C909" s="144"/>
      <c r="F909" s="35"/>
      <c r="H909" s="35"/>
      <c r="I909" s="35"/>
    </row>
    <row r="910" ht="15.75" customHeight="1" spans="3:9" x14ac:dyDescent="0.25">
      <c r="C910" s="144"/>
      <c r="F910" s="35"/>
      <c r="H910" s="35"/>
      <c r="I910" s="35"/>
    </row>
    <row r="911" ht="15.75" customHeight="1" spans="3:9" x14ac:dyDescent="0.25">
      <c r="C911" s="144"/>
      <c r="F911" s="35"/>
      <c r="H911" s="35"/>
      <c r="I911" s="35"/>
    </row>
    <row r="912" ht="15.75" customHeight="1" spans="3:9" x14ac:dyDescent="0.25">
      <c r="C912" s="144"/>
      <c r="F912" s="35"/>
      <c r="H912" s="35"/>
      <c r="I912" s="35"/>
    </row>
    <row r="913" ht="15.75" customHeight="1" spans="3:9" x14ac:dyDescent="0.25">
      <c r="C913" s="144"/>
      <c r="F913" s="35"/>
      <c r="H913" s="35"/>
      <c r="I913" s="35"/>
    </row>
    <row r="914" ht="15.75" customHeight="1" spans="3:9" x14ac:dyDescent="0.25">
      <c r="C914" s="144"/>
      <c r="F914" s="35"/>
      <c r="H914" s="35"/>
      <c r="I914" s="35"/>
    </row>
    <row r="915" ht="15.75" customHeight="1" spans="3:9" x14ac:dyDescent="0.25">
      <c r="C915" s="144"/>
      <c r="F915" s="35"/>
      <c r="H915" s="35"/>
      <c r="I915" s="35"/>
    </row>
    <row r="916" ht="15.75" customHeight="1" spans="3:9" x14ac:dyDescent="0.25">
      <c r="C916" s="144"/>
      <c r="F916" s="35"/>
      <c r="H916" s="35"/>
      <c r="I916" s="35"/>
    </row>
    <row r="917" ht="15.75" customHeight="1" spans="3:9" x14ac:dyDescent="0.25">
      <c r="C917" s="144"/>
      <c r="F917" s="35"/>
      <c r="H917" s="35"/>
      <c r="I917" s="35"/>
    </row>
    <row r="918" ht="15.75" customHeight="1" spans="3:9" x14ac:dyDescent="0.25">
      <c r="C918" s="144"/>
      <c r="F918" s="35"/>
      <c r="H918" s="35"/>
      <c r="I918" s="35"/>
    </row>
    <row r="919" ht="15.75" customHeight="1" spans="3:9" x14ac:dyDescent="0.25">
      <c r="C919" s="144"/>
      <c r="F919" s="35"/>
      <c r="H919" s="35"/>
      <c r="I919" s="35"/>
    </row>
    <row r="920" ht="15.75" customHeight="1" spans="3:9" x14ac:dyDescent="0.25">
      <c r="C920" s="144"/>
      <c r="F920" s="35"/>
      <c r="H920" s="35"/>
      <c r="I920" s="35"/>
    </row>
    <row r="921" ht="15.75" customHeight="1" spans="3:9" x14ac:dyDescent="0.25">
      <c r="C921" s="144"/>
      <c r="F921" s="35"/>
      <c r="H921" s="35"/>
      <c r="I921" s="35"/>
    </row>
    <row r="922" ht="15.75" customHeight="1" spans="3:9" x14ac:dyDescent="0.25">
      <c r="C922" s="144"/>
      <c r="F922" s="35"/>
      <c r="H922" s="35"/>
      <c r="I922" s="35"/>
    </row>
    <row r="923" ht="15.75" customHeight="1" spans="3:9" x14ac:dyDescent="0.25">
      <c r="C923" s="144"/>
      <c r="F923" s="35"/>
      <c r="H923" s="35"/>
      <c r="I923" s="35"/>
    </row>
    <row r="924" ht="15.75" customHeight="1" spans="3:9" x14ac:dyDescent="0.25">
      <c r="C924" s="144"/>
      <c r="F924" s="35"/>
      <c r="H924" s="35"/>
      <c r="I924" s="35"/>
    </row>
    <row r="925" ht="15.75" customHeight="1" spans="3:9" x14ac:dyDescent="0.25">
      <c r="C925" s="144"/>
      <c r="F925" s="35"/>
      <c r="H925" s="35"/>
      <c r="I925" s="35"/>
    </row>
    <row r="926" ht="15.75" customHeight="1" spans="3:9" x14ac:dyDescent="0.25">
      <c r="C926" s="144"/>
      <c r="F926" s="35"/>
      <c r="H926" s="35"/>
      <c r="I926" s="35"/>
    </row>
    <row r="927" ht="15.75" customHeight="1" spans="3:9" x14ac:dyDescent="0.25">
      <c r="C927" s="144"/>
      <c r="F927" s="35"/>
      <c r="H927" s="35"/>
      <c r="I927" s="35"/>
    </row>
    <row r="928" ht="15.75" customHeight="1" spans="3:9" x14ac:dyDescent="0.25">
      <c r="C928" s="144"/>
      <c r="F928" s="35"/>
      <c r="H928" s="35"/>
      <c r="I928" s="35"/>
    </row>
    <row r="929" ht="15.75" customHeight="1" spans="3:9" x14ac:dyDescent="0.25">
      <c r="C929" s="144"/>
      <c r="F929" s="35"/>
      <c r="H929" s="35"/>
      <c r="I929" s="35"/>
    </row>
    <row r="930" ht="15.75" customHeight="1" spans="3:9" x14ac:dyDescent="0.25">
      <c r="C930" s="144"/>
      <c r="F930" s="35"/>
      <c r="H930" s="35"/>
      <c r="I930" s="35"/>
    </row>
    <row r="931" ht="15.75" customHeight="1" spans="3:9" x14ac:dyDescent="0.25">
      <c r="C931" s="144"/>
      <c r="F931" s="35"/>
      <c r="H931" s="35"/>
      <c r="I931" s="35"/>
    </row>
    <row r="932" ht="15.75" customHeight="1" spans="3:9" x14ac:dyDescent="0.25">
      <c r="C932" s="144"/>
      <c r="F932" s="35"/>
      <c r="H932" s="35"/>
      <c r="I932" s="35"/>
    </row>
    <row r="933" ht="15.75" customHeight="1" spans="3:9" x14ac:dyDescent="0.25">
      <c r="C933" s="144"/>
      <c r="F933" s="35"/>
      <c r="H933" s="35"/>
      <c r="I933" s="35"/>
    </row>
    <row r="934" ht="15.75" customHeight="1" spans="3:9" x14ac:dyDescent="0.25">
      <c r="C934" s="144"/>
      <c r="F934" s="35"/>
      <c r="H934" s="35"/>
      <c r="I934" s="35"/>
    </row>
    <row r="935" ht="15.75" customHeight="1" spans="3:9" x14ac:dyDescent="0.25">
      <c r="C935" s="144"/>
      <c r="F935" s="35"/>
      <c r="H935" s="35"/>
      <c r="I935" s="35"/>
    </row>
    <row r="936" ht="15.75" customHeight="1" spans="3:9" x14ac:dyDescent="0.25">
      <c r="C936" s="144"/>
      <c r="F936" s="35"/>
      <c r="H936" s="35"/>
      <c r="I936" s="35"/>
    </row>
    <row r="937" ht="15.75" customHeight="1" spans="3:9" x14ac:dyDescent="0.25">
      <c r="C937" s="144"/>
      <c r="F937" s="35"/>
      <c r="H937" s="35"/>
      <c r="I937" s="35"/>
    </row>
    <row r="938" ht="15.75" customHeight="1" spans="3:9" x14ac:dyDescent="0.25">
      <c r="C938" s="144"/>
      <c r="F938" s="35"/>
      <c r="H938" s="35"/>
      <c r="I938" s="35"/>
    </row>
    <row r="939" ht="15.75" customHeight="1" spans="3:9" x14ac:dyDescent="0.25">
      <c r="C939" s="144"/>
      <c r="F939" s="35"/>
      <c r="H939" s="35"/>
      <c r="I939" s="35"/>
    </row>
    <row r="940" ht="15.75" customHeight="1" spans="3:9" x14ac:dyDescent="0.25">
      <c r="C940" s="144"/>
      <c r="F940" s="35"/>
      <c r="H940" s="35"/>
      <c r="I940" s="35"/>
    </row>
    <row r="941" ht="15.75" customHeight="1" spans="3:9" x14ac:dyDescent="0.25">
      <c r="C941" s="144"/>
      <c r="F941" s="35"/>
      <c r="H941" s="35"/>
      <c r="I941" s="35"/>
    </row>
    <row r="942" ht="15.75" customHeight="1" spans="3:9" x14ac:dyDescent="0.25">
      <c r="C942" s="144"/>
      <c r="F942" s="35"/>
      <c r="H942" s="35"/>
      <c r="I942" s="35"/>
    </row>
    <row r="943" ht="15.75" customHeight="1" spans="3:9" x14ac:dyDescent="0.25">
      <c r="C943" s="144"/>
      <c r="F943" s="35"/>
      <c r="H943" s="35"/>
      <c r="I943" s="35"/>
    </row>
    <row r="944" ht="15.75" customHeight="1" spans="3:9" x14ac:dyDescent="0.25">
      <c r="C944" s="144"/>
      <c r="F944" s="35"/>
      <c r="H944" s="35"/>
      <c r="I944" s="35"/>
    </row>
    <row r="945" ht="15.75" customHeight="1" spans="3:9" x14ac:dyDescent="0.25">
      <c r="C945" s="144"/>
      <c r="F945" s="35"/>
      <c r="H945" s="35"/>
      <c r="I945" s="35"/>
    </row>
    <row r="946" ht="15.75" customHeight="1" spans="3:9" x14ac:dyDescent="0.25">
      <c r="C946" s="144"/>
      <c r="F946" s="35"/>
      <c r="H946" s="35"/>
      <c r="I946" s="35"/>
    </row>
    <row r="947" ht="15.75" customHeight="1" spans="3:9" x14ac:dyDescent="0.25">
      <c r="C947" s="144"/>
      <c r="F947" s="35"/>
      <c r="H947" s="35"/>
      <c r="I947" s="35"/>
    </row>
    <row r="948" ht="15.75" customHeight="1" spans="3:9" x14ac:dyDescent="0.25">
      <c r="C948" s="144"/>
      <c r="F948" s="35"/>
      <c r="H948" s="35"/>
      <c r="I948" s="35"/>
    </row>
    <row r="949" ht="15.75" customHeight="1" spans="3:9" x14ac:dyDescent="0.25">
      <c r="C949" s="144"/>
      <c r="F949" s="35"/>
      <c r="H949" s="35"/>
      <c r="I949" s="35"/>
    </row>
    <row r="950" ht="15.75" customHeight="1" spans="3:9" x14ac:dyDescent="0.25">
      <c r="C950" s="144"/>
      <c r="F950" s="35"/>
      <c r="H950" s="35"/>
      <c r="I950" s="35"/>
    </row>
    <row r="951" ht="15.75" customHeight="1" spans="3:9" x14ac:dyDescent="0.25">
      <c r="C951" s="144"/>
      <c r="F951" s="35"/>
      <c r="H951" s="35"/>
      <c r="I951" s="35"/>
    </row>
    <row r="952" ht="15.75" customHeight="1" spans="3:9" x14ac:dyDescent="0.25">
      <c r="C952" s="144"/>
      <c r="F952" s="35"/>
      <c r="H952" s="35"/>
      <c r="I952" s="35"/>
    </row>
    <row r="953" ht="15.75" customHeight="1" spans="3:9" x14ac:dyDescent="0.25">
      <c r="C953" s="144"/>
      <c r="F953" s="35"/>
      <c r="H953" s="35"/>
      <c r="I953" s="35"/>
    </row>
    <row r="954" ht="15.75" customHeight="1" spans="3:9" x14ac:dyDescent="0.25">
      <c r="C954" s="144"/>
      <c r="F954" s="35"/>
      <c r="H954" s="35"/>
      <c r="I954" s="35"/>
    </row>
    <row r="955" ht="15.75" customHeight="1" spans="3:9" x14ac:dyDescent="0.25">
      <c r="C955" s="144"/>
      <c r="F955" s="35"/>
      <c r="H955" s="35"/>
      <c r="I955" s="35"/>
    </row>
    <row r="956" ht="15.75" customHeight="1" spans="3:9" x14ac:dyDescent="0.25">
      <c r="C956" s="144"/>
      <c r="F956" s="35"/>
      <c r="H956" s="35"/>
      <c r="I956" s="35"/>
    </row>
    <row r="957" ht="15.75" customHeight="1" spans="3:9" x14ac:dyDescent="0.25">
      <c r="C957" s="144"/>
      <c r="F957" s="35"/>
      <c r="H957" s="35"/>
      <c r="I957" s="35"/>
    </row>
    <row r="958" ht="15.75" customHeight="1" spans="3:9" x14ac:dyDescent="0.25">
      <c r="C958" s="144"/>
      <c r="F958" s="35"/>
      <c r="H958" s="35"/>
      <c r="I958" s="35"/>
    </row>
    <row r="959" ht="15.75" customHeight="1" spans="3:9" x14ac:dyDescent="0.25">
      <c r="C959" s="144"/>
      <c r="F959" s="35"/>
      <c r="H959" s="35"/>
      <c r="I959" s="35"/>
    </row>
    <row r="960" ht="15.75" customHeight="1" spans="3:9" x14ac:dyDescent="0.25">
      <c r="C960" s="144"/>
      <c r="F960" s="35"/>
      <c r="H960" s="35"/>
      <c r="I960" s="35"/>
    </row>
    <row r="961" ht="15.75" customHeight="1" spans="3:9" x14ac:dyDescent="0.25">
      <c r="C961" s="144"/>
      <c r="F961" s="35"/>
      <c r="H961" s="35"/>
      <c r="I961" s="35"/>
    </row>
    <row r="962" ht="15.75" customHeight="1" spans="3:9" x14ac:dyDescent="0.25">
      <c r="C962" s="144"/>
      <c r="F962" s="35"/>
      <c r="H962" s="35"/>
      <c r="I962" s="35"/>
    </row>
    <row r="963" ht="15.75" customHeight="1" spans="3:9" x14ac:dyDescent="0.25">
      <c r="C963" s="144"/>
      <c r="F963" s="35"/>
      <c r="H963" s="35"/>
      <c r="I963" s="35"/>
    </row>
    <row r="964" ht="15.75" customHeight="1" spans="3:9" x14ac:dyDescent="0.25">
      <c r="C964" s="144"/>
      <c r="F964" s="35"/>
      <c r="H964" s="35"/>
      <c r="I964" s="35"/>
    </row>
    <row r="965" ht="15.75" customHeight="1" spans="3:9" x14ac:dyDescent="0.25">
      <c r="C965" s="144"/>
      <c r="F965" s="35"/>
      <c r="H965" s="35"/>
      <c r="I965" s="35"/>
    </row>
    <row r="966" ht="15.75" customHeight="1" spans="3:9" x14ac:dyDescent="0.25">
      <c r="C966" s="144"/>
      <c r="F966" s="35"/>
      <c r="H966" s="35"/>
      <c r="I966" s="35"/>
    </row>
    <row r="967" ht="15.75" customHeight="1" spans="3:9" x14ac:dyDescent="0.25">
      <c r="C967" s="144"/>
      <c r="F967" s="35"/>
      <c r="H967" s="35"/>
      <c r="I967" s="35"/>
    </row>
    <row r="968" ht="15.75" customHeight="1" spans="3:9" x14ac:dyDescent="0.25">
      <c r="C968" s="144"/>
      <c r="F968" s="35"/>
      <c r="H968" s="35"/>
      <c r="I968" s="35"/>
    </row>
    <row r="969" ht="15.75" customHeight="1" spans="3:9" x14ac:dyDescent="0.25">
      <c r="C969" s="144"/>
      <c r="F969" s="35"/>
      <c r="H969" s="35"/>
      <c r="I969" s="35"/>
    </row>
    <row r="970" ht="15.75" customHeight="1" spans="3:9" x14ac:dyDescent="0.25">
      <c r="C970" s="144"/>
      <c r="F970" s="35"/>
      <c r="H970" s="35"/>
      <c r="I970" s="35"/>
    </row>
    <row r="971" ht="15.75" customHeight="1" spans="3:9" x14ac:dyDescent="0.25">
      <c r="C971" s="144"/>
      <c r="F971" s="35"/>
      <c r="H971" s="35"/>
      <c r="I971" s="35"/>
    </row>
    <row r="972" ht="15.75" customHeight="1" spans="3:9" x14ac:dyDescent="0.25">
      <c r="C972" s="144"/>
      <c r="F972" s="35"/>
      <c r="H972" s="35"/>
      <c r="I972" s="35"/>
    </row>
    <row r="973" ht="15.75" customHeight="1" spans="3:9" x14ac:dyDescent="0.25">
      <c r="C973" s="144"/>
      <c r="F973" s="35"/>
      <c r="H973" s="35"/>
      <c r="I973" s="35"/>
    </row>
    <row r="974" ht="15.75" customHeight="1" spans="3:9" x14ac:dyDescent="0.25">
      <c r="C974" s="144"/>
      <c r="F974" s="35"/>
      <c r="H974" s="35"/>
      <c r="I974" s="35"/>
    </row>
    <row r="975" ht="15.75" customHeight="1" spans="3:9" x14ac:dyDescent="0.25">
      <c r="C975" s="144"/>
      <c r="F975" s="35"/>
      <c r="H975" s="35"/>
      <c r="I975" s="35"/>
    </row>
    <row r="976" ht="15.75" customHeight="1" spans="3:9" x14ac:dyDescent="0.25">
      <c r="C976" s="144"/>
      <c r="F976" s="35"/>
      <c r="H976" s="35"/>
      <c r="I976" s="35"/>
    </row>
    <row r="977" ht="15.75" customHeight="1" spans="3:9" x14ac:dyDescent="0.25">
      <c r="C977" s="144"/>
      <c r="F977" s="35"/>
      <c r="H977" s="35"/>
      <c r="I977" s="35"/>
    </row>
    <row r="978" ht="15.75" customHeight="1" spans="3:9" x14ac:dyDescent="0.25">
      <c r="C978" s="144"/>
      <c r="F978" s="35"/>
      <c r="H978" s="35"/>
      <c r="I978" s="35"/>
    </row>
    <row r="979" ht="15.75" customHeight="1" spans="3:9" x14ac:dyDescent="0.25">
      <c r="C979" s="144"/>
      <c r="F979" s="35"/>
      <c r="H979" s="35"/>
      <c r="I979" s="35"/>
    </row>
    <row r="980" ht="15.75" customHeight="1" spans="3:9" x14ac:dyDescent="0.25">
      <c r="C980" s="144"/>
      <c r="F980" s="35"/>
      <c r="H980" s="35"/>
      <c r="I980" s="35"/>
    </row>
    <row r="981" ht="15.75" customHeight="1" spans="3:9" x14ac:dyDescent="0.25">
      <c r="C981" s="144"/>
      <c r="F981" s="35"/>
      <c r="H981" s="35"/>
      <c r="I981" s="35"/>
    </row>
    <row r="982" ht="15.75" customHeight="1" spans="3:9" x14ac:dyDescent="0.25">
      <c r="C982" s="144"/>
      <c r="F982" s="35"/>
      <c r="H982" s="35"/>
      <c r="I982" s="35"/>
    </row>
    <row r="983" ht="15.75" customHeight="1" spans="3:9" x14ac:dyDescent="0.25">
      <c r="C983" s="144"/>
      <c r="F983" s="35"/>
      <c r="H983" s="35"/>
      <c r="I983" s="35"/>
    </row>
    <row r="984" ht="15.75" customHeight="1" spans="3:9" x14ac:dyDescent="0.25">
      <c r="C984" s="144"/>
      <c r="F984" s="35"/>
      <c r="H984" s="35"/>
      <c r="I984" s="35"/>
    </row>
    <row r="985" ht="15.75" customHeight="1" spans="3:9" x14ac:dyDescent="0.25">
      <c r="C985" s="144"/>
      <c r="F985" s="35"/>
      <c r="H985" s="35"/>
      <c r="I985" s="35"/>
    </row>
    <row r="986" ht="15.75" customHeight="1" spans="3:9" x14ac:dyDescent="0.25">
      <c r="C986" s="144"/>
      <c r="F986" s="35"/>
      <c r="H986" s="35"/>
      <c r="I986" s="35"/>
    </row>
    <row r="987" ht="15.75" customHeight="1" spans="3:9" x14ac:dyDescent="0.25">
      <c r="C987" s="144"/>
      <c r="F987" s="35"/>
      <c r="H987" s="35"/>
      <c r="I987" s="35"/>
    </row>
    <row r="988" ht="15.75" customHeight="1" spans="3:9" x14ac:dyDescent="0.25">
      <c r="C988" s="144"/>
      <c r="F988" s="35"/>
      <c r="H988" s="35"/>
      <c r="I988" s="35"/>
    </row>
    <row r="989" ht="15.75" customHeight="1" spans="3:9" x14ac:dyDescent="0.25">
      <c r="C989" s="144"/>
      <c r="F989" s="35"/>
      <c r="H989" s="35"/>
      <c r="I989" s="35"/>
    </row>
    <row r="990" ht="15.75" customHeight="1" spans="3:9" x14ac:dyDescent="0.25">
      <c r="C990" s="144"/>
      <c r="F990" s="35"/>
      <c r="H990" s="35"/>
      <c r="I990" s="35"/>
    </row>
    <row r="991" ht="15.75" customHeight="1" spans="3:9" x14ac:dyDescent="0.25">
      <c r="C991" s="144"/>
      <c r="F991" s="35"/>
      <c r="H991" s="35"/>
      <c r="I991" s="35"/>
    </row>
    <row r="992" ht="15.75" customHeight="1" spans="3:9" x14ac:dyDescent="0.25">
      <c r="C992" s="144"/>
      <c r="F992" s="35"/>
      <c r="H992" s="35"/>
      <c r="I992" s="35"/>
    </row>
    <row r="993" ht="15.75" customHeight="1" spans="3:9" x14ac:dyDescent="0.25">
      <c r="C993" s="144"/>
      <c r="F993" s="35"/>
      <c r="H993" s="35"/>
      <c r="I993" s="35"/>
    </row>
    <row r="994" ht="15.75" customHeight="1" spans="3:9" x14ac:dyDescent="0.25">
      <c r="C994" s="144"/>
      <c r="F994" s="35"/>
      <c r="H994" s="35"/>
      <c r="I994" s="35"/>
    </row>
    <row r="995" ht="15.75" customHeight="1" spans="3:9" x14ac:dyDescent="0.25">
      <c r="C995" s="144"/>
      <c r="F995" s="35"/>
      <c r="H995" s="35"/>
      <c r="I995" s="35"/>
    </row>
    <row r="996" ht="15.75" customHeight="1" spans="3:9" x14ac:dyDescent="0.25">
      <c r="C996" s="144"/>
      <c r="F996" s="35"/>
      <c r="H996" s="35"/>
      <c r="I996" s="35"/>
    </row>
    <row r="997" ht="15.75" customHeight="1" spans="3:9" x14ac:dyDescent="0.25">
      <c r="C997" s="144"/>
      <c r="F997" s="35"/>
      <c r="H997" s="35"/>
      <c r="I997" s="35"/>
    </row>
    <row r="998" ht="15.75" customHeight="1" spans="3:9" x14ac:dyDescent="0.25">
      <c r="C998" s="144"/>
      <c r="F998" s="35"/>
      <c r="H998" s="35"/>
      <c r="I998" s="35"/>
    </row>
    <row r="999" ht="15.75" customHeight="1" spans="3:9" x14ac:dyDescent="0.25">
      <c r="C999" s="144"/>
      <c r="F999" s="35"/>
      <c r="H999" s="35"/>
      <c r="I999" s="35"/>
    </row>
  </sheetData>
  <mergeCells count="15">
    <mergeCell ref="A1:I1"/>
    <mergeCell ref="A2:I2"/>
    <mergeCell ref="A3:I3"/>
    <mergeCell ref="A4:I4"/>
    <mergeCell ref="A5:I5"/>
    <mergeCell ref="A6:I6"/>
    <mergeCell ref="A7:I7"/>
    <mergeCell ref="A8:I8"/>
    <mergeCell ref="H33:I33"/>
    <mergeCell ref="A35:D35"/>
    <mergeCell ref="H35:I35"/>
    <mergeCell ref="E36:G36"/>
    <mergeCell ref="H38:I38"/>
    <mergeCell ref="B39:D39"/>
    <mergeCell ref="E39:G39"/>
  </mergeCells>
  <hyperlinks>
    <hyperlink ref="A7" r:id="rId1"/>
    <hyperlink ref="A8" r:id="rId2"/>
  </hyperlinks>
  <pageMargins left="0.7" right="0.7" top="0.75" bottom="0.75" header="0.3" footer="0.3"/>
  <pageSetup orientation="portrait" horizontalDpi="4294967295" verticalDpi="4294967295" scale="63" fitToWidth="1" fitToHeight="1" firstPageNumber="1" useFirstPageNumber="1" copies="1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1000"/>
  <sheetViews>
    <sheetView workbookViewId="0" zoomScale="100" zoomScaleNormal="100">
      <selection activeCell="A1" sqref="A1"/>
    </sheetView>
  </sheetViews>
  <sheetFormatPr defaultRowHeight="15" outlineLevelRow="0" outlineLevelCol="0" x14ac:dyDescent="0" defaultColWidth="11.25"/>
  <cols>
    <col min="1" max="1" width="8.875" customWidth="1"/>
    <col min="2" max="2" width="37.375" customWidth="1"/>
    <col min="3" max="26" width="8.875" customWidth="1"/>
  </cols>
  <sheetData>
    <row r="1" ht="15.75" customHeight="1" spans="1:4" x14ac:dyDescent="0.25">
      <c r="A1" s="145" t="s">
        <v>22</v>
      </c>
      <c r="B1" s="146" t="s">
        <v>23</v>
      </c>
      <c r="C1" s="147" t="s">
        <v>25</v>
      </c>
      <c r="D1" s="147" t="s">
        <v>26</v>
      </c>
    </row>
    <row r="2" ht="15.75" customHeight="1" spans="1:4" x14ac:dyDescent="0.25">
      <c r="A2" s="148">
        <v>1</v>
      </c>
      <c r="B2" s="149" t="s">
        <v>65</v>
      </c>
      <c r="C2" s="150" t="s">
        <v>66</v>
      </c>
      <c r="D2" s="151">
        <v>250</v>
      </c>
    </row>
    <row r="3" ht="15.75" customHeight="1" spans="1:4" x14ac:dyDescent="0.25">
      <c r="A3" s="148">
        <f>A2+1</f>
      </c>
      <c r="B3" s="152" t="s">
        <v>67</v>
      </c>
      <c r="C3" s="150" t="s">
        <v>66</v>
      </c>
      <c r="D3" s="151">
        <v>250</v>
      </c>
    </row>
    <row r="4" ht="15.75" customHeight="1" spans="1:4" x14ac:dyDescent="0.25">
      <c r="A4" s="148">
        <f>A3+1</f>
      </c>
      <c r="B4" s="152" t="s">
        <v>68</v>
      </c>
      <c r="C4" s="150" t="s">
        <v>66</v>
      </c>
      <c r="D4" s="151">
        <v>250</v>
      </c>
    </row>
    <row r="5" ht="15.75" customHeight="1" spans="1:4" x14ac:dyDescent="0.25">
      <c r="A5" s="148">
        <f>A4+1</f>
      </c>
      <c r="B5" s="152" t="s">
        <v>69</v>
      </c>
      <c r="C5" s="150" t="s">
        <v>66</v>
      </c>
      <c r="D5" s="151">
        <v>80</v>
      </c>
    </row>
    <row r="6" ht="15.75" customHeight="1" spans="1:4" x14ac:dyDescent="0.25">
      <c r="A6" s="148">
        <f>A5+1</f>
      </c>
      <c r="B6" s="152" t="s">
        <v>70</v>
      </c>
      <c r="C6" s="150" t="s">
        <v>66</v>
      </c>
      <c r="D6" s="151">
        <v>100</v>
      </c>
    </row>
    <row r="7" ht="15.75" customHeight="1" spans="1:4" x14ac:dyDescent="0.25">
      <c r="A7" s="148">
        <f>A6+1</f>
      </c>
      <c r="B7" s="152" t="s">
        <v>71</v>
      </c>
      <c r="C7" s="150" t="s">
        <v>66</v>
      </c>
      <c r="D7" s="151">
        <v>80</v>
      </c>
    </row>
    <row r="8" ht="15.75" customHeight="1" spans="1:4" x14ac:dyDescent="0.25">
      <c r="A8" s="148">
        <f>A7+1</f>
      </c>
      <c r="B8" s="152" t="s">
        <v>72</v>
      </c>
      <c r="C8" s="150" t="s">
        <v>66</v>
      </c>
      <c r="D8" s="151">
        <v>50</v>
      </c>
    </row>
    <row r="9" ht="15.75" customHeight="1" spans="1:4" x14ac:dyDescent="0.25">
      <c r="A9" s="148">
        <v>8</v>
      </c>
      <c r="B9" s="149" t="s">
        <v>73</v>
      </c>
      <c r="C9" s="150" t="s">
        <v>66</v>
      </c>
      <c r="D9" s="151">
        <v>30</v>
      </c>
    </row>
    <row r="10" ht="15.75" customHeight="1" spans="1:4" x14ac:dyDescent="0.25">
      <c r="A10" s="148"/>
      <c r="B10" s="152"/>
      <c r="C10" s="150"/>
      <c r="D10" s="151"/>
    </row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pc</cp:lastModifiedBy>
  <cp:lastPrinted>2026-06-18T06:12:00Z</cp:lastPrinted>
  <dcterms:created xsi:type="dcterms:W3CDTF">2021-06-06T21:04:00Z</dcterms:created>
  <dcterms:modified xsi:type="dcterms:W3CDTF">2026-07-21T10:58:30Z</dcterms:modified>
</cp:coreProperties>
</file>