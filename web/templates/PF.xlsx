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jawal\Downloads\"/>
    </mc:Choice>
  </mc:AlternateContent>
  <xr:revisionPtr revIDLastSave="0" documentId="13_ncr:1_{E7A36003-E379-4AFC-A840-BCA35AEF4A2D}" xr6:coauthVersionLast="47" xr6:coauthVersionMax="47" xr10:uidLastSave="{00000000-0000-0000-0000-000000000000}"/>
  <bookViews>
    <workbookView xWindow="-120" yWindow="-120" windowWidth="20730" windowHeight="11040" xr2:uid="{C4D77260-AA67-4067-AC4A-E3C888662E79}"/>
  </bookViews>
  <sheets>
    <sheet name="PF Applied" sheetId="1" r:id="rId1"/>
    <sheet name="Out out from PF" sheetId="2" r:id="rId2"/>
  </sheets>
  <definedNames>
    <definedName name="_xlnm.Print_Area" localSheetId="1">'Out out from PF'!$B$2:$D$17</definedName>
    <definedName name="_xlnm.Print_Area" localSheetId="0">'PF Applied'!$B$2:$D$17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I2" i="1"/>
  <c r="G3" i="2"/>
  <c r="G3" i="1"/>
  <c r="C5" i="1" s="1"/>
  <c r="C7" i="2" l="1"/>
  <c r="D7" i="2" s="1"/>
  <c r="C5" i="2"/>
  <c r="C7" i="1"/>
  <c r="D7" i="1" s="1"/>
  <c r="D5" i="2" l="1"/>
  <c r="C6" i="2"/>
  <c r="D6" i="2" s="1"/>
  <c r="D5" i="1"/>
  <c r="C9" i="2" l="1"/>
  <c r="D9" i="2" s="1"/>
  <c r="D8" i="2"/>
  <c r="C12" i="2"/>
  <c r="D8" i="1"/>
  <c r="C6" i="1"/>
  <c r="C9" i="1" s="1"/>
  <c r="C12" i="1"/>
  <c r="D12" i="1" s="1"/>
  <c r="C10" i="2" l="1"/>
  <c r="D10" i="2"/>
  <c r="C13" i="2"/>
  <c r="D13" i="2" s="1"/>
  <c r="D12" i="2"/>
  <c r="C13" i="1"/>
  <c r="D13" i="1" s="1"/>
  <c r="D6" i="1"/>
  <c r="D9" i="1"/>
  <c r="D14" i="2" l="1"/>
  <c r="C14" i="2"/>
  <c r="D10" i="1"/>
  <c r="D14" i="1" s="1"/>
  <c r="C10" i="1"/>
  <c r="C14" i="1" s="1"/>
</calcChain>
</file>

<file path=xl/sharedStrings.xml><?xml version="1.0" encoding="utf-8"?>
<sst xmlns="http://schemas.openxmlformats.org/spreadsheetml/2006/main" count="34" uniqueCount="16">
  <si>
    <t>BASIC</t>
  </si>
  <si>
    <t>HRA</t>
  </si>
  <si>
    <t>CONVEYANCE ALLOWANCE</t>
  </si>
  <si>
    <t>SPECIAL ALLOWANCE</t>
  </si>
  <si>
    <t>Annexure-A</t>
  </si>
  <si>
    <t>Annual CTC</t>
  </si>
  <si>
    <t>Monthly CTC</t>
  </si>
  <si>
    <t>PF EMPLOYER</t>
  </si>
  <si>
    <t>Monthly</t>
  </si>
  <si>
    <t>Annual</t>
  </si>
  <si>
    <t>Total CTC</t>
  </si>
  <si>
    <t>Less: Deductions</t>
  </si>
  <si>
    <t>PF EMPLOYEE</t>
  </si>
  <si>
    <t>SALARY IN HAND</t>
  </si>
  <si>
    <t>Salary Components</t>
  </si>
  <si>
    <t>Note: Salary will be further subject to TDS deduction as per applicable provisions.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</si>
</sst>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164" fontId="0" fillId="2" borderId="0" xfId="1" applyNumberFormat="1" applyFont="1" applyFill="1"/>
    <xf numFmtId="164" fontId="0" fillId="0" borderId="0" xfId="0" applyNumberFormat="1"/>
    <xf numFmtId="0" fontId="0" fillId="0" borderId="3" xfId="0" applyBorder="1"/>
    <xf numFmtId="164" fontId="0" fillId="0" borderId="4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3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10" xfId="1" applyNumberFormat="1" applyFont="1" applyBorder="1"/>
    <xf numFmtId="164" fontId="0" fillId="0" borderId="7" xfId="1" applyNumberFormat="1" applyFont="1" applyBorder="1"/>
    <xf numFmtId="0" fontId="0" fillId="0" borderId="10" xfId="0" applyBorder="1"/>
    <xf numFmtId="164" fontId="0" fillId="0" borderId="10" xfId="0" applyNumberFormat="1" applyBorder="1"/>
    <xf numFmtId="0" fontId="0" fillId="0" borderId="7" xfId="0" applyBorder="1"/>
    <xf numFmtId="0" fontId="2" fillId="0" borderId="12" xfId="0" applyFont="1" applyBorder="1"/>
    <xf numFmtId="164" fontId="2" fillId="0" borderId="11" xfId="0" applyNumberFormat="1" applyFont="1" applyBorder="1"/>
    <xf numFmtId="164" fontId="2" fillId="0" borderId="13" xfId="0" applyNumberFormat="1" applyFont="1" applyBorder="1"/>
    <xf numFmtId="164" fontId="0" fillId="0" borderId="14" xfId="0" applyNumberFormat="1" applyBorder="1"/>
    <xf numFmtId="164" fontId="0" fillId="0" borderId="15" xfId="1" applyNumberFormat="1" applyFont="1" applyBorder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F73A-4EF5-401F-9FC3-10DEA3A02279}">
  <dimension ref="B2:I17"/>
  <sheetViews>
    <sheetView showGridLines="0" tabSelected="1" workbookViewId="0">
      <selection activeCell="B7" sqref="B7"/>
    </sheetView>
  </sheetViews>
  <sheetFormatPr defaultColWidth="8.85546875" defaultRowHeight="15" x14ac:dyDescent="0.25"/>
  <cols>
    <col min="2" max="2" width="25.140625" bestFit="1" customWidth="1"/>
    <col min="3" max="3" width="10.140625" bestFit="1" customWidth="1"/>
    <col min="4" max="4" width="11.140625" bestFit="1" customWidth="1"/>
    <col min="6" max="6" width="11.42578125" bestFit="1" customWidth="1"/>
    <col min="7" max="7" width="11.140625" bestFit="1" customWidth="1"/>
  </cols>
  <sheetData>
    <row r="2" spans="2:9" x14ac:dyDescent="0.25">
      <c r="B2" s="24" t="s">
        <v>4</v>
      </c>
      <c r="C2" s="24"/>
      <c r="D2" s="24"/>
      <c r="F2" s="1" t="s">
        <v>5</v>
      </c>
      <c r="G2" s="2">
        <v>504000</v>
      </c>
      <c r="I2">
        <f>42000*12</f>
        <v>504000</v>
      </c>
    </row>
    <row r="3" spans="2:9" ht="15.75" thickBot="1" x14ac:dyDescent="0.3">
      <c r="F3" t="s">
        <v>6</v>
      </c>
      <c r="G3" s="3">
        <f>G2/12</f>
        <v>42000</v>
      </c>
    </row>
    <row r="4" spans="2:9" ht="15.75" thickBot="1" x14ac:dyDescent="0.3">
      <c r="B4" s="11" t="s">
        <v>14</v>
      </c>
      <c r="C4" s="13" t="s">
        <v>8</v>
      </c>
      <c r="D4" s="12" t="s">
        <v>9</v>
      </c>
    </row>
    <row r="5" spans="2:9" x14ac:dyDescent="0.25">
      <c r="B5" s="4" t="s">
        <v>0</v>
      </c>
      <c r="C5" s="14">
        <f>IF(G3&lt;=42000,MIN(21500,G3),G3/2)</f>
        <v>21500</v>
      </c>
      <c r="D5" s="5">
        <f>C5*12</f>
        <v>258000</v>
      </c>
    </row>
    <row r="6" spans="2:9" x14ac:dyDescent="0.25">
      <c r="B6" s="4" t="s">
        <v>1</v>
      </c>
      <c r="C6" s="14">
        <f>IF(G3&lt;42000,G3-C5-C8,C5/2)</f>
        <v>10750</v>
      </c>
      <c r="D6" s="5">
        <f t="shared" ref="D6:D9" si="0">C6*12</f>
        <v>129000</v>
      </c>
    </row>
    <row r="7" spans="2:9" x14ac:dyDescent="0.25">
      <c r="B7" s="4" t="s">
        <v>2</v>
      </c>
      <c r="C7" s="14">
        <f>ROUND(IF(G3&lt;42000,0,G3*10%),0)</f>
        <v>4200</v>
      </c>
      <c r="D7" s="5">
        <f t="shared" si="0"/>
        <v>50400</v>
      </c>
    </row>
    <row r="8" spans="2:9" x14ac:dyDescent="0.25">
      <c r="B8" s="4" t="s">
        <v>7</v>
      </c>
      <c r="C8" s="14">
        <f>ROUND(IF(C5&gt;25000,3000,C5*12%),0)</f>
        <v>2580</v>
      </c>
      <c r="D8" s="5">
        <f t="shared" si="0"/>
        <v>30960</v>
      </c>
    </row>
    <row r="9" spans="2:9" ht="15.75" thickBot="1" x14ac:dyDescent="0.3">
      <c r="B9" s="7" t="s">
        <v>3</v>
      </c>
      <c r="C9" s="15">
        <f>(G3-SUM(C5:C8))</f>
        <v>2970</v>
      </c>
      <c r="D9" s="9">
        <f t="shared" si="0"/>
        <v>35640</v>
      </c>
    </row>
    <row r="10" spans="2:9" x14ac:dyDescent="0.25">
      <c r="B10" s="4" t="s">
        <v>10</v>
      </c>
      <c r="C10" s="14">
        <f>SUM(C5:C9)</f>
        <v>42000</v>
      </c>
      <c r="D10" s="5">
        <f>SUM(D5:D9)</f>
        <v>504000</v>
      </c>
    </row>
    <row r="11" spans="2:9" x14ac:dyDescent="0.25">
      <c r="B11" s="10" t="s">
        <v>11</v>
      </c>
      <c r="C11" s="16"/>
      <c r="D11" s="6"/>
    </row>
    <row r="12" spans="2:9" x14ac:dyDescent="0.25">
      <c r="B12" s="4" t="s">
        <v>7</v>
      </c>
      <c r="C12" s="17">
        <f>C8</f>
        <v>2580</v>
      </c>
      <c r="D12" s="5">
        <f t="shared" ref="D12:D13" si="1">C12*12</f>
        <v>30960</v>
      </c>
    </row>
    <row r="13" spans="2:9" x14ac:dyDescent="0.25">
      <c r="B13" s="4" t="s">
        <v>12</v>
      </c>
      <c r="C13" s="22">
        <f>C12</f>
        <v>2580</v>
      </c>
      <c r="D13" s="23">
        <f t="shared" si="1"/>
        <v>30960</v>
      </c>
    </row>
    <row r="14" spans="2:9" ht="15.75" thickBot="1" x14ac:dyDescent="0.3">
      <c r="B14" s="19" t="s">
        <v>13</v>
      </c>
      <c r="C14" s="20">
        <f>C10-SUM(C12:C13)</f>
        <v>36840</v>
      </c>
      <c r="D14" s="21">
        <f>D10-SUM(D12:D13)</f>
        <v>442080</v>
      </c>
    </row>
    <row r="15" spans="2:9" ht="16.5" thickTop="1" thickBot="1" x14ac:dyDescent="0.3">
      <c r="B15" s="7"/>
      <c r="C15" s="18"/>
      <c r="D15" s="8"/>
    </row>
    <row r="16" spans="2:9" ht="14.45" customHeight="1" x14ac:dyDescent="0.25">
      <c r="B16" s="25" t="s">
        <v>15</v>
      </c>
      <c r="C16" s="25"/>
      <c r="D16" s="25"/>
    </row>
    <row r="17" spans="2:4" x14ac:dyDescent="0.25">
      <c r="B17" s="26"/>
      <c r="C17" s="26"/>
      <c r="D17" s="26"/>
    </row>
  </sheetData>
  <mergeCells count="2">
    <mergeCell ref="B2:D2"/>
    <mergeCell ref="B16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73DD-FF83-4B5D-9C41-2D8B2F74F4A5}">
  <dimension ref="B2:G17"/>
  <sheetViews>
    <sheetView showGridLines="0" workbookViewId="0">
      <selection activeCell="C5" sqref="C5"/>
    </sheetView>
  </sheetViews>
  <sheetFormatPr defaultColWidth="8.85546875" defaultRowHeight="15" x14ac:dyDescent="0.25"/>
  <cols>
    <col min="2" max="2" width="36.28515625" customWidth="1"/>
    <col min="3" max="3" width="10.140625" bestFit="1" customWidth="1"/>
    <col min="4" max="4" width="11.140625" bestFit="1" customWidth="1"/>
    <col min="6" max="6" width="11.42578125" bestFit="1" customWidth="1"/>
    <col min="7" max="7" width="11.140625" bestFit="1" customWidth="1"/>
  </cols>
  <sheetData>
    <row r="2" spans="2:7" x14ac:dyDescent="0.25">
      <c r="B2" s="24" t="s">
        <v>4</v>
      </c>
      <c r="C2" s="24"/>
      <c r="D2" s="24"/>
      <c r="F2" s="1" t="s">
        <v>5</v>
      </c>
      <c r="G2" s="2">
        <v>276000</v>
      </c>
    </row>
    <row r="3" spans="2:7" ht="15.75" thickBot="1" x14ac:dyDescent="0.3">
      <c r="F3" t="s">
        <v>6</v>
      </c>
      <c r="G3" s="3">
        <f>G2/12</f>
        <v>23000</v>
      </c>
    </row>
    <row r="4" spans="2:7" ht="15.75" thickBot="1" x14ac:dyDescent="0.3">
      <c r="B4" s="11" t="s">
        <v>14</v>
      </c>
      <c r="C4" s="13" t="s">
        <v>8</v>
      </c>
      <c r="D4" s="12" t="s">
        <v>9</v>
      </c>
    </row>
    <row r="5" spans="2:7" x14ac:dyDescent="0.25">
      <c r="B5" s="4" t="s">
        <v>0</v>
      </c>
      <c r="C5" s="14">
        <f>IF(G3&lt;42000,MIN(21500,G3),G3/2)</f>
        <v>21500</v>
      </c>
      <c r="D5" s="5">
        <f>C5*12</f>
        <v>258000</v>
      </c>
    </row>
    <row r="6" spans="2:7" x14ac:dyDescent="0.25">
      <c r="B6" s="4" t="s">
        <v>1</v>
      </c>
      <c r="C6" s="14">
        <f>IF(G3&lt;42000,G3-C5-C8,C5/2)</f>
        <v>1500</v>
      </c>
      <c r="D6" s="5">
        <f t="shared" ref="D6:D9" si="0">C6*12</f>
        <v>18000</v>
      </c>
    </row>
    <row r="7" spans="2:7" x14ac:dyDescent="0.25">
      <c r="B7" s="4" t="s">
        <v>2</v>
      </c>
      <c r="C7" s="14">
        <f>ROUND(IF(G3&lt;42000,0,G3*10%),0)</f>
        <v>0</v>
      </c>
      <c r="D7" s="5">
        <f t="shared" si="0"/>
        <v>0</v>
      </c>
    </row>
    <row r="8" spans="2:7" x14ac:dyDescent="0.25">
      <c r="B8" s="4" t="s">
        <v>7</v>
      </c>
      <c r="C8" s="14">
        <v>0</v>
      </c>
      <c r="D8" s="5">
        <f t="shared" si="0"/>
        <v>0</v>
      </c>
    </row>
    <row r="9" spans="2:7" ht="15.75" thickBot="1" x14ac:dyDescent="0.3">
      <c r="B9" s="7" t="s">
        <v>3</v>
      </c>
      <c r="C9" s="15">
        <f>(G3-SUM(C5:C8))</f>
        <v>0</v>
      </c>
      <c r="D9" s="9">
        <f t="shared" si="0"/>
        <v>0</v>
      </c>
    </row>
    <row r="10" spans="2:7" x14ac:dyDescent="0.25">
      <c r="B10" s="4" t="s">
        <v>10</v>
      </c>
      <c r="C10" s="14">
        <f>SUM(C5:C9)</f>
        <v>23000</v>
      </c>
      <c r="D10" s="5">
        <f>SUM(D5:D9)</f>
        <v>276000</v>
      </c>
    </row>
    <row r="11" spans="2:7" x14ac:dyDescent="0.25">
      <c r="B11" s="10" t="s">
        <v>11</v>
      </c>
      <c r="C11" s="16"/>
      <c r="D11" s="6"/>
    </row>
    <row r="12" spans="2:7" x14ac:dyDescent="0.25">
      <c r="B12" s="4" t="s">
        <v>7</v>
      </c>
      <c r="C12" s="17">
        <f>C8</f>
        <v>0</v>
      </c>
      <c r="D12" s="5">
        <f t="shared" ref="D12:D13" si="1">C12*12</f>
        <v>0</v>
      </c>
    </row>
    <row r="13" spans="2:7" x14ac:dyDescent="0.25">
      <c r="B13" s="4" t="s">
        <v>12</v>
      </c>
      <c r="C13" s="22">
        <f>C12</f>
        <v>0</v>
      </c>
      <c r="D13" s="23">
        <f t="shared" si="1"/>
        <v>0</v>
      </c>
    </row>
    <row r="14" spans="2:7" ht="15.75" thickBot="1" x14ac:dyDescent="0.3">
      <c r="B14" s="19" t="s">
        <v>13</v>
      </c>
      <c r="C14" s="20">
        <f>C10-SUM(C12:C13)</f>
        <v>23000</v>
      </c>
      <c r="D14" s="21">
        <f>D10-SUM(D12:D13)</f>
        <v>276000</v>
      </c>
    </row>
    <row r="15" spans="2:7" ht="16.5" thickTop="1" thickBot="1" x14ac:dyDescent="0.3">
      <c r="B15" s="7"/>
      <c r="C15" s="18"/>
      <c r="D15" s="8"/>
    </row>
    <row r="16" spans="2:7" ht="14.45" customHeight="1" x14ac:dyDescent="0.25">
      <c r="B16" s="25" t="s">
        <v>15</v>
      </c>
      <c r="C16" s="25"/>
      <c r="D16" s="25"/>
    </row>
    <row r="17" spans="2:4" x14ac:dyDescent="0.25">
      <c r="B17" s="26"/>
      <c r="C17" s="26"/>
      <c r="D17" s="26"/>
    </row>
  </sheetData>
  <mergeCells count="2">
    <mergeCell ref="B2:D2"/>
    <mergeCell ref="B16:D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PF Applied</vt:lpstr>
      <vt:lpstr>Out out from PF</vt:lpstr>
      <vt:lpstr>'Out out from PF'!Print_Area</vt:lpstr>
      <vt:lpstr>'PF Applied'!Print_Area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Konnectinstabiz</cp:lastModifiedBy>
  <dcterms:created xsi:type="dcterms:W3CDTF">2026-07-02T09:19:20Z</dcterms:created>
  <dcterms:modified xsi:type="dcterms:W3CDTF">2026-10-12T05:31:38Z</dcterms:modified>
</cp:coreProperties>
</file>